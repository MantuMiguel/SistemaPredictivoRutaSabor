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/>
  <xr:revisionPtr revIDLastSave="0" documentId="8_{57253256-A961-4C7A-935B-CF04990DEA9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Planificador horario semanal" sheetId="6" r:id="rId1"/>
  </sheets>
  <definedNames>
    <definedName name="_xlnm.Print_Area" localSheetId="0">'Planificador horario semanal'!$A$1:$AI$39</definedName>
    <definedName name="FechaDeinicio">'Planificador horario semanal'!$V$4</definedName>
    <definedName name="InicioDeSemana">'Planificador horario semanal'!#REF!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6" l="1"/>
  <c r="AE15" i="6" l="1"/>
  <c r="Z15" i="6"/>
  <c r="U15" i="6"/>
  <c r="P15" i="6"/>
  <c r="K15" i="6"/>
  <c r="E15" i="6"/>
  <c r="AE16" i="6"/>
  <c r="Z16" i="6"/>
  <c r="U16" i="6"/>
  <c r="P16" i="6"/>
  <c r="K16" i="6"/>
  <c r="E16" i="6"/>
  <c r="AC15" i="6" l="1"/>
  <c r="X15" i="6"/>
  <c r="S15" i="6"/>
  <c r="N15" i="6"/>
  <c r="I15" i="6"/>
  <c r="C15" i="6"/>
</calcChain>
</file>

<file path=xl/sharedStrings.xml><?xml version="1.0" encoding="utf-8"?>
<sst xmlns="http://schemas.openxmlformats.org/spreadsheetml/2006/main" count="48" uniqueCount="40">
  <si>
    <t>Planificador horario semanal</t>
  </si>
  <si>
    <t>Notas</t>
  </si>
  <si>
    <t>Semana de:</t>
  </si>
  <si>
    <t>Fechas límite esta semana</t>
  </si>
  <si>
    <t>Materias</t>
  </si>
  <si>
    <t>Curso 1</t>
  </si>
  <si>
    <t>Curso 2</t>
  </si>
  <si>
    <t>Curso 3</t>
  </si>
  <si>
    <t>Curso 4</t>
  </si>
  <si>
    <t>Curso 5</t>
  </si>
  <si>
    <t>Curso 6</t>
  </si>
  <si>
    <t>Hojas de Estilo en Cascada Avanzado</t>
  </si>
  <si>
    <t>Marcos de Desarrollo Web</t>
  </si>
  <si>
    <t>JavaScript Avanzado</t>
  </si>
  <si>
    <t>Curso Integrador I: Sistemas - Software</t>
  </si>
  <si>
    <t>Análisis y diseño de Sistemas de Información</t>
  </si>
  <si>
    <t>Redes y Comunicación de Datos 1</t>
  </si>
  <si>
    <r>
      <rPr>
        <sz val="14"/>
        <color theme="5" tint="-0.249977111117893"/>
        <rFont val="Calibri"/>
        <family val="2"/>
        <scheme val="minor"/>
      </rPr>
      <t>Hojas de Estilo en Cascada Avanzado</t>
    </r>
    <r>
      <rPr>
        <sz val="14"/>
        <color theme="1" tint="0.24994659260841701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( Sanchez Sly 6:30 pm a 8:00 pm)</t>
    </r>
  </si>
  <si>
    <r>
      <rPr>
        <sz val="14"/>
        <color rgb="FF7030A0"/>
        <rFont val="Calibri"/>
        <family val="2"/>
        <scheme val="minor"/>
      </rPr>
      <t>JavaScript Avanzado</t>
    </r>
    <r>
      <rPr>
        <b/>
        <sz val="14"/>
        <color theme="1" tint="0.24994659260841701"/>
        <rFont val="Calibri"/>
        <family val="2"/>
        <scheme val="minor"/>
      </rPr>
      <t xml:space="preserve"> (Sanchez Sly 6:30 pm a 8:00 pm)</t>
    </r>
  </si>
  <si>
    <r>
      <rPr>
        <b/>
        <sz val="14"/>
        <color theme="1"/>
        <rFont val="Calibri"/>
        <family val="2"/>
        <scheme val="minor"/>
      </rPr>
      <t>Marcos De Desarrollo Web</t>
    </r>
    <r>
      <rPr>
        <sz val="14"/>
        <color rgb="FF00B050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(Arce 12 pm a 1:30 pm)</t>
    </r>
  </si>
  <si>
    <r>
      <rPr>
        <b/>
        <sz val="14"/>
        <color theme="1"/>
        <rFont val="Calibri"/>
        <family val="2"/>
        <scheme val="minor"/>
      </rPr>
      <t>Marcos De Desarrollo Web</t>
    </r>
    <r>
      <rPr>
        <sz val="14"/>
        <color rgb="FF00B050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(Arce 10:15 am a 11:45 am)</t>
    </r>
  </si>
  <si>
    <t>Fecha de Evaluaciones</t>
  </si>
  <si>
    <t>PC 1</t>
  </si>
  <si>
    <t>PC 2</t>
  </si>
  <si>
    <t>PC 3</t>
  </si>
  <si>
    <t>Examen Final</t>
  </si>
  <si>
    <t>Parcial</t>
  </si>
  <si>
    <t>AV1</t>
  </si>
  <si>
    <t>AV2</t>
  </si>
  <si>
    <t>AV3</t>
  </si>
  <si>
    <t>Proyecto Final</t>
  </si>
  <si>
    <r>
      <rPr>
        <b/>
        <sz val="14"/>
        <color theme="1"/>
        <rFont val="Calibri"/>
        <family val="2"/>
        <scheme val="minor"/>
      </rPr>
      <t>Integrador I SISTEMAS - SOFTWARE</t>
    </r>
    <r>
      <rPr>
        <b/>
        <sz val="14"/>
        <color theme="1" tint="0.24994659260841701"/>
        <rFont val="Calibri"/>
        <family val="2"/>
        <scheme val="minor"/>
      </rPr>
      <t>( Anita 1:45pm 3:15pm)  OPCION 2</t>
    </r>
  </si>
  <si>
    <t>Integrador I SISTEMAS - SOFTWARE( Anita 1:45pm 3:15pm) OPCION 2</t>
  </si>
  <si>
    <r>
      <rPr>
        <b/>
        <sz val="14"/>
        <color theme="1"/>
        <rFont val="Calibri"/>
        <family val="2"/>
        <scheme val="minor"/>
      </rPr>
      <t>Integrador I SISTEMAS - SOFTWARE</t>
    </r>
    <r>
      <rPr>
        <b/>
        <sz val="14"/>
        <color theme="1" tint="0.24994659260841701"/>
        <rFont val="Calibri"/>
        <family val="2"/>
        <scheme val="minor"/>
      </rPr>
      <t>( Anita 1:45pm 3:15pm) OPCION 1</t>
    </r>
  </si>
  <si>
    <r>
      <rPr>
        <sz val="14"/>
        <color rgb="FFFF0000"/>
        <rFont val="Calibri"/>
        <family val="2"/>
        <scheme val="minor"/>
      </rPr>
      <t xml:space="preserve">Redes y Comunicación de Datos </t>
    </r>
    <r>
      <rPr>
        <b/>
        <sz val="14"/>
        <color theme="1" tint="0.24994659260841701"/>
        <rFont val="Calibri"/>
        <family val="2"/>
        <scheme val="minor"/>
      </rPr>
      <t>(Ñahui 8:30 am a 10:00 am) OPCION A</t>
    </r>
  </si>
  <si>
    <r>
      <rPr>
        <sz val="14"/>
        <color rgb="FFFF0000"/>
        <rFont val="Calibri"/>
        <family val="2"/>
        <scheme val="minor"/>
      </rPr>
      <t>Redes y Comunicación de Datos</t>
    </r>
    <r>
      <rPr>
        <sz val="14"/>
        <color theme="1" tint="0.24994659260841701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(Ñahui 8:15 pm a 9:45 pm) OPCION B</t>
    </r>
  </si>
  <si>
    <r>
      <rPr>
        <sz val="14"/>
        <color rgb="FFFF0000"/>
        <rFont val="Calibri"/>
        <family val="2"/>
        <scheme val="minor"/>
      </rPr>
      <t>Redes y Comunicación de Datos</t>
    </r>
    <r>
      <rPr>
        <sz val="14"/>
        <color theme="1" tint="0.24994659260841701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(Ñahui 8:30 am a 10:00 am) OPCION A</t>
    </r>
  </si>
  <si>
    <r>
      <rPr>
        <sz val="14"/>
        <color rgb="FF7030A0"/>
        <rFont val="Calibri"/>
        <family val="2"/>
        <scheme val="minor"/>
      </rPr>
      <t>JavaScript Avanzado</t>
    </r>
    <r>
      <rPr>
        <b/>
        <sz val="14"/>
        <color theme="1" tint="0.24994659260841701"/>
        <rFont val="Calibri"/>
        <family val="2"/>
        <scheme val="minor"/>
      </rPr>
      <t xml:space="preserve"> (Sanchez Sly 6:30 pm a 8:00 pm)</t>
    </r>
    <r>
      <rPr>
        <sz val="14"/>
        <color theme="1" tint="0.24994659260841701"/>
        <rFont val="Calibri"/>
        <family val="2"/>
        <scheme val="minor"/>
      </rPr>
      <t xml:space="preserve"> </t>
    </r>
    <r>
      <rPr>
        <b/>
        <sz val="14"/>
        <color theme="1" tint="0.24994659260841701"/>
        <rFont val="Calibri"/>
        <family val="2"/>
        <scheme val="minor"/>
      </rPr>
      <t>SI SALEN MEJORES OPCIONES CAMBIAR</t>
    </r>
  </si>
  <si>
    <t>Integrador I SISTEMAS - SOFTWARE( Anita 6:30pm 8:00pm) OPCION SI CAMBIO JS CON OTRO PROFESOR</t>
  </si>
  <si>
    <t>ANALISIS Y DISEÑO DE SISTEMAS DE INFORMACION ES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</si>
</sst>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31" x14ac:knownFonts="1"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 tint="0.24994659260841701"/>
      <name val="Calibri"/>
      <family val="4"/>
      <scheme val="minor"/>
    </font>
    <font>
      <sz val="12"/>
      <color theme="1" tint="0.24994659260841701"/>
      <name val="Calibri"/>
      <family val="4"/>
      <scheme val="minor"/>
    </font>
    <font>
      <u/>
      <sz val="12"/>
      <color theme="1" tint="0.24994659260841701"/>
      <name val="Calibri"/>
      <family val="4"/>
      <scheme val="minor"/>
    </font>
    <font>
      <sz val="12"/>
      <color theme="1" tint="0.24994659260841701"/>
      <name val="Arial Nova"/>
      <family val="2"/>
      <scheme val="major"/>
    </font>
    <font>
      <b/>
      <sz val="12"/>
      <color theme="1" tint="0.24994659260841701"/>
      <name val="Arial Nova"/>
      <family val="2"/>
      <scheme val="major"/>
    </font>
    <font>
      <sz val="28"/>
      <color theme="0"/>
      <name val="Arial Nova"/>
      <family val="2"/>
      <scheme val="major"/>
    </font>
    <font>
      <sz val="12"/>
      <color theme="0"/>
      <name val="Arial Nova"/>
      <family val="2"/>
      <scheme val="major"/>
    </font>
    <font>
      <sz val="20"/>
      <color theme="1" tint="0.24994659260841701"/>
      <name val="Arial Nova"/>
      <family val="2"/>
      <scheme val="major"/>
    </font>
    <font>
      <sz val="20"/>
      <color theme="0"/>
      <name val="Arial Nova"/>
      <family val="2"/>
      <scheme val="major"/>
    </font>
    <font>
      <b/>
      <sz val="22"/>
      <color theme="0"/>
      <name val="Arial Nova"/>
      <family val="2"/>
      <scheme val="major"/>
    </font>
    <font>
      <sz val="12"/>
      <color theme="1" tint="0.24994659260841701"/>
      <name val="Calibri"/>
      <family val="2"/>
      <scheme val="minor"/>
    </font>
    <font>
      <sz val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2488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C3F1"/>
        <bgColor indexed="64"/>
      </patternFill>
    </fill>
    <fill>
      <patternFill patternType="solid">
        <fgColor rgb="FFDBB8F6"/>
        <bgColor indexed="64"/>
      </patternFill>
    </fill>
    <fill>
      <patternFill patternType="solid">
        <fgColor rgb="FF81D9C4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thin">
        <color rgb="FF248851"/>
      </right>
      <top style="medium">
        <color rgb="FF248851"/>
      </top>
      <bottom/>
      <diagonal/>
    </border>
    <border>
      <left/>
      <right/>
      <top style="medium">
        <color rgb="FF24885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rgb="FF248851"/>
      </left>
      <right/>
      <top style="medium">
        <color rgb="FF248851"/>
      </top>
      <bottom/>
      <diagonal/>
    </border>
    <border>
      <left style="medium">
        <color rgb="FF248851"/>
      </left>
      <right/>
      <top/>
      <bottom style="medium">
        <color rgb="FF248851"/>
      </bottom>
      <diagonal/>
    </border>
    <border>
      <left/>
      <right/>
      <top/>
      <bottom style="medium">
        <color rgb="FF248851"/>
      </bottom>
      <diagonal/>
    </border>
    <border>
      <left/>
      <right style="thin">
        <color rgb="FF248851"/>
      </right>
      <top/>
      <bottom style="medium">
        <color rgb="FF248851"/>
      </bottom>
      <diagonal/>
    </border>
    <border>
      <left style="medium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dotted">
        <color theme="0" tint="-0.24994659260841701"/>
      </right>
      <top style="medium">
        <color rgb="FF248851"/>
      </top>
      <bottom/>
      <diagonal/>
    </border>
    <border>
      <left/>
      <right/>
      <top/>
      <bottom style="dotted">
        <color theme="0" tint="-0.24994659260841701"/>
      </bottom>
      <diagonal/>
    </border>
    <border>
      <left/>
      <right style="dotted">
        <color theme="0" tint="-0.24994659260841701"/>
      </right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 style="dotted">
        <color theme="0" tint="-0.24994659260841701"/>
      </right>
      <top style="dotted">
        <color theme="0" tint="-0.24994659260841701"/>
      </top>
      <bottom/>
      <diagonal/>
    </border>
  </borders>
  <cellStyleXfs count="18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9" fillId="9" borderId="3" applyNumberFormat="0" applyAlignment="0" applyProtection="0"/>
    <xf numFmtId="14" fontId="6" fillId="2" borderId="2" applyProtection="0">
      <alignment horizontal="center" vertical="center"/>
    </xf>
    <xf numFmtId="164" fontId="10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8" fillId="0" borderId="0">
      <alignment horizontal="left" vertical="center" wrapText="1" indent="1"/>
    </xf>
    <xf numFmtId="164" fontId="7" fillId="4" borderId="3" applyNumberFormat="0" applyFont="0" applyBorder="0" applyAlignment="0">
      <alignment horizontal="center" vertical="center"/>
    </xf>
    <xf numFmtId="164" fontId="7" fillId="5" borderId="3" applyNumberFormat="0" applyFont="0" applyBorder="0" applyAlignment="0">
      <alignment horizontal="center" vertical="center"/>
    </xf>
    <xf numFmtId="164" fontId="7" fillId="6" borderId="3" applyNumberFormat="0" applyFont="0" applyBorder="0" applyAlignment="0">
      <alignment horizontal="center" vertical="center"/>
    </xf>
    <xf numFmtId="164" fontId="7" fillId="7" borderId="3" applyNumberFormat="0" applyFont="0" applyBorder="0" applyAlignment="0">
      <alignment horizontal="center" vertical="center"/>
    </xf>
    <xf numFmtId="164" fontId="7" fillId="2" borderId="3" applyNumberFormat="0" applyFont="0" applyBorder="0" applyAlignment="0">
      <alignment horizontal="center" vertical="center"/>
    </xf>
    <xf numFmtId="164" fontId="7" fillId="3" borderId="3" applyNumberFormat="0" applyFont="0" applyBorder="0" applyAlignment="0">
      <alignment horizontal="center" vertical="center"/>
    </xf>
    <xf numFmtId="164" fontId="7" fillId="8" borderId="3" applyNumberFormat="0" applyFont="0" applyBorder="0" applyAlignment="0">
      <alignment horizontal="center" vertical="center"/>
    </xf>
  </cellStyleXfs>
  <cellXfs count="115">
    <xf numFmtId="0" fontId="0" fillId="0" borderId="0" xfId="0"/>
    <xf numFmtId="0" fontId="11" fillId="0" borderId="0" xfId="0" applyFont="1" applyAlignment="1" applyProtection="1">
      <alignment vertical="center"/>
      <protection locked="0"/>
    </xf>
    <xf numFmtId="0" fontId="0" fillId="10" borderId="0" xfId="0" applyFill="1" applyProtection="1">
      <protection locked="0"/>
    </xf>
    <xf numFmtId="0" fontId="0" fillId="0" borderId="0" xfId="0" applyProtection="1"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1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0" borderId="0" xfId="0" applyFill="1"/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 applyProtection="1">
      <alignment horizontal="center"/>
      <protection locked="0"/>
    </xf>
    <xf numFmtId="0" fontId="13" fillId="10" borderId="0" xfId="0" applyFont="1" applyFill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1" fillId="0" borderId="0" xfId="0" applyFont="1"/>
    <xf numFmtId="0" fontId="11" fillId="10" borderId="0" xfId="0" applyFont="1" applyFill="1"/>
    <xf numFmtId="0" fontId="18" fillId="0" borderId="0" xfId="0" applyFont="1" applyProtection="1">
      <protection locked="0"/>
    </xf>
    <xf numFmtId="0" fontId="18" fillId="0" borderId="0" xfId="0" applyFont="1"/>
    <xf numFmtId="0" fontId="18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2" fillId="10" borderId="0" xfId="0" applyFont="1" applyFill="1" applyAlignment="1">
      <alignment vertical="center"/>
    </xf>
    <xf numFmtId="0" fontId="21" fillId="10" borderId="0" xfId="0" applyFont="1" applyFill="1"/>
    <xf numFmtId="0" fontId="21" fillId="0" borderId="0" xfId="0" applyFont="1"/>
    <xf numFmtId="0" fontId="12" fillId="0" borderId="0" xfId="0" applyFont="1" applyAlignment="1" applyProtection="1">
      <alignment vertical="center"/>
      <protection locked="0"/>
    </xf>
    <xf numFmtId="0" fontId="18" fillId="10" borderId="0" xfId="0" applyFont="1" applyFill="1"/>
    <xf numFmtId="0" fontId="18" fillId="10" borderId="0" xfId="0" applyFont="1" applyFill="1" applyAlignment="1">
      <alignment horizontal="left" indent="3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>
      <alignment vertical="center"/>
    </xf>
    <xf numFmtId="0" fontId="17" fillId="12" borderId="13" xfId="0" applyFont="1" applyFill="1" applyBorder="1" applyAlignment="1">
      <alignment horizontal="left" vertical="center"/>
    </xf>
    <xf numFmtId="0" fontId="17" fillId="12" borderId="25" xfId="0" applyFont="1" applyFill="1" applyBorder="1" applyAlignment="1">
      <alignment horizontal="left" vertical="center"/>
    </xf>
    <xf numFmtId="0" fontId="12" fillId="13" borderId="17" xfId="0" applyFont="1" applyFill="1" applyBorder="1" applyAlignment="1" applyProtection="1">
      <alignment horizontal="left" indent="1"/>
      <protection locked="0"/>
    </xf>
    <xf numFmtId="0" fontId="12" fillId="13" borderId="18" xfId="0" applyFont="1" applyFill="1" applyBorder="1" applyAlignment="1" applyProtection="1">
      <alignment horizontal="left" indent="1"/>
      <protection locked="0"/>
    </xf>
    <xf numFmtId="0" fontId="16" fillId="11" borderId="13" xfId="0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  <xf numFmtId="0" fontId="12" fillId="13" borderId="6" xfId="0" applyFont="1" applyFill="1" applyBorder="1" applyAlignment="1" applyProtection="1">
      <alignment horizontal="left" indent="1"/>
      <protection locked="0"/>
    </xf>
    <xf numFmtId="0" fontId="12" fillId="13" borderId="7" xfId="0" applyFont="1" applyFill="1" applyBorder="1" applyAlignment="1" applyProtection="1">
      <alignment horizontal="left" indent="1"/>
      <protection locked="0"/>
    </xf>
    <xf numFmtId="0" fontId="12" fillId="13" borderId="9" xfId="0" applyFont="1" applyFill="1" applyBorder="1" applyAlignment="1" applyProtection="1">
      <alignment horizontal="left" vertical="center" indent="1"/>
      <protection locked="0"/>
    </xf>
    <xf numFmtId="0" fontId="12" fillId="13" borderId="5" xfId="0" applyFont="1" applyFill="1" applyBorder="1" applyAlignment="1" applyProtection="1">
      <alignment horizontal="left" vertical="center" indent="1"/>
      <protection locked="0"/>
    </xf>
    <xf numFmtId="0" fontId="12" fillId="13" borderId="10" xfId="0" applyFont="1" applyFill="1" applyBorder="1" applyAlignment="1" applyProtection="1">
      <alignment horizontal="left" vertical="center" indent="1"/>
      <protection locked="0"/>
    </xf>
    <xf numFmtId="0" fontId="12" fillId="13" borderId="11" xfId="0" applyFont="1" applyFill="1" applyBorder="1" applyAlignment="1" applyProtection="1">
      <alignment horizontal="left" vertical="center" indent="1"/>
      <protection locked="0"/>
    </xf>
    <xf numFmtId="0" fontId="16" fillId="11" borderId="23" xfId="0" applyFont="1" applyFill="1" applyBorder="1" applyAlignment="1">
      <alignment horizontal="center" vertical="top"/>
    </xf>
    <xf numFmtId="0" fontId="16" fillId="11" borderId="13" xfId="0" applyFont="1" applyFill="1" applyBorder="1" applyAlignment="1">
      <alignment horizontal="center" vertical="top"/>
    </xf>
    <xf numFmtId="0" fontId="16" fillId="11" borderId="24" xfId="0" applyFont="1" applyFill="1" applyBorder="1" applyAlignment="1">
      <alignment horizontal="center" vertical="top"/>
    </xf>
    <xf numFmtId="0" fontId="16" fillId="11" borderId="25" xfId="0" applyFont="1" applyFill="1" applyBorder="1" applyAlignment="1">
      <alignment horizontal="center" vertical="top"/>
    </xf>
    <xf numFmtId="0" fontId="12" fillId="13" borderId="18" xfId="0" applyFont="1" applyFill="1" applyBorder="1" applyAlignment="1" applyProtection="1">
      <alignment horizontal="left" vertical="center" indent="1"/>
      <protection locked="0"/>
    </xf>
    <xf numFmtId="0" fontId="12" fillId="13" borderId="19" xfId="0" applyFont="1" applyFill="1" applyBorder="1" applyAlignment="1" applyProtection="1">
      <alignment horizontal="left" vertical="center" indent="1"/>
      <protection locked="0"/>
    </xf>
    <xf numFmtId="0" fontId="12" fillId="13" borderId="21" xfId="0" applyFont="1" applyFill="1" applyBorder="1" applyAlignment="1" applyProtection="1">
      <alignment horizontal="left" vertical="center" indent="1"/>
      <protection locked="0"/>
    </xf>
    <xf numFmtId="0" fontId="12" fillId="13" borderId="22" xfId="0" applyFont="1" applyFill="1" applyBorder="1" applyAlignment="1" applyProtection="1">
      <alignment horizontal="left" vertical="center" indent="1"/>
      <protection locked="0"/>
    </xf>
    <xf numFmtId="0" fontId="17" fillId="12" borderId="13" xfId="0" applyFont="1" applyFill="1" applyBorder="1" applyAlignment="1">
      <alignment horizontal="left" vertical="center"/>
    </xf>
    <xf numFmtId="0" fontId="17" fillId="12" borderId="12" xfId="0" applyFont="1" applyFill="1" applyBorder="1" applyAlignment="1">
      <alignment horizontal="left" vertical="center"/>
    </xf>
    <xf numFmtId="0" fontId="17" fillId="12" borderId="25" xfId="0" applyFont="1" applyFill="1" applyBorder="1" applyAlignment="1">
      <alignment horizontal="left" vertical="center"/>
    </xf>
    <xf numFmtId="0" fontId="17" fillId="12" borderId="26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right" vertical="center"/>
    </xf>
    <xf numFmtId="14" fontId="15" fillId="10" borderId="0" xfId="0" applyNumberFormat="1" applyFont="1" applyFill="1" applyAlignment="1" applyProtection="1">
      <alignment horizontal="left" vertical="center" indent="1"/>
      <protection locked="0"/>
    </xf>
    <xf numFmtId="0" fontId="12" fillId="13" borderId="15" xfId="0" applyFont="1" applyFill="1" applyBorder="1" applyAlignment="1" applyProtection="1">
      <alignment horizontal="left" indent="1"/>
      <protection locked="0"/>
    </xf>
    <xf numFmtId="0" fontId="12" fillId="13" borderId="16" xfId="0" applyFont="1" applyFill="1" applyBorder="1" applyAlignment="1" applyProtection="1">
      <alignment horizontal="left" indent="1"/>
      <protection locked="0"/>
    </xf>
    <xf numFmtId="0" fontId="11" fillId="0" borderId="21" xfId="0" applyFont="1" applyBorder="1" applyAlignment="1" applyProtection="1">
      <alignment horizontal="left" vertical="center"/>
      <protection locked="0"/>
    </xf>
    <xf numFmtId="0" fontId="20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left" vertical="center" indent="1"/>
    </xf>
    <xf numFmtId="0" fontId="17" fillId="6" borderId="30" xfId="0" applyFont="1" applyFill="1" applyBorder="1" applyAlignment="1">
      <alignment horizontal="left" vertical="center" indent="1"/>
    </xf>
    <xf numFmtId="0" fontId="12" fillId="13" borderId="14" xfId="0" applyFont="1" applyFill="1" applyBorder="1" applyAlignment="1" applyProtection="1">
      <alignment horizontal="left" indent="1"/>
      <protection locked="0"/>
    </xf>
    <xf numFmtId="0" fontId="12" fillId="13" borderId="17" xfId="0" applyFont="1" applyFill="1" applyBorder="1" applyAlignment="1" applyProtection="1">
      <alignment horizontal="left" vertical="center" indent="1"/>
      <protection locked="0"/>
    </xf>
    <xf numFmtId="0" fontId="12" fillId="13" borderId="20" xfId="0" applyFont="1" applyFill="1" applyBorder="1" applyAlignment="1" applyProtection="1">
      <alignment horizontal="left" vertical="center" inden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12" fillId="13" borderId="8" xfId="0" applyFont="1" applyFill="1" applyBorder="1" applyAlignment="1" applyProtection="1">
      <protection locked="0"/>
    </xf>
    <xf numFmtId="0" fontId="12" fillId="13" borderId="6" xfId="0" applyFont="1" applyFill="1" applyBorder="1" applyAlignment="1" applyProtection="1">
      <alignment horizontal="center"/>
      <protection locked="0"/>
    </xf>
    <xf numFmtId="0" fontId="12" fillId="13" borderId="7" xfId="0" applyFont="1" applyFill="1" applyBorder="1" applyAlignment="1" applyProtection="1">
      <alignment horizontal="center"/>
      <protection locked="0"/>
    </xf>
    <xf numFmtId="0" fontId="0" fillId="14" borderId="0" xfId="0" applyFill="1"/>
    <xf numFmtId="0" fontId="0" fillId="15" borderId="0" xfId="0" applyFill="1"/>
    <xf numFmtId="0" fontId="12" fillId="16" borderId="0" xfId="0" applyFont="1" applyFill="1" applyAlignment="1" applyProtection="1">
      <alignment horizontal="center" vertical="center"/>
      <protection locked="0"/>
    </xf>
    <xf numFmtId="0" fontId="12" fillId="17" borderId="0" xfId="0" applyFont="1" applyFill="1" applyAlignment="1" applyProtection="1">
      <alignment horizontal="center" vertical="center"/>
      <protection locked="0"/>
    </xf>
    <xf numFmtId="0" fontId="12" fillId="18" borderId="0" xfId="0" applyFont="1" applyFill="1" applyAlignment="1" applyProtection="1">
      <alignment horizontal="center" vertical="center"/>
      <protection locked="0"/>
    </xf>
    <xf numFmtId="0" fontId="12" fillId="19" borderId="0" xfId="0" applyFont="1" applyFill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3" fillId="20" borderId="35" xfId="0" applyFont="1" applyFill="1" applyBorder="1" applyAlignment="1" applyProtection="1">
      <alignment horizontal="center" vertical="center" wrapText="1"/>
      <protection locked="0"/>
    </xf>
    <xf numFmtId="0" fontId="23" fillId="20" borderId="36" xfId="0" applyFont="1" applyFill="1" applyBorder="1" applyAlignment="1" applyProtection="1">
      <alignment horizontal="center" vertical="center" wrapText="1"/>
      <protection locked="0"/>
    </xf>
    <xf numFmtId="0" fontId="23" fillId="20" borderId="33" xfId="0" applyFont="1" applyFill="1" applyBorder="1" applyAlignment="1" applyProtection="1">
      <alignment horizontal="center" vertical="center" wrapText="1"/>
      <protection locked="0"/>
    </xf>
    <xf numFmtId="0" fontId="23" fillId="20" borderId="34" xfId="0" applyFont="1" applyFill="1" applyBorder="1" applyAlignment="1" applyProtection="1">
      <alignment horizontal="center" vertical="center" wrapText="1"/>
      <protection locked="0"/>
    </xf>
    <xf numFmtId="0" fontId="23" fillId="21" borderId="13" xfId="0" applyFont="1" applyFill="1" applyBorder="1" applyAlignment="1" applyProtection="1">
      <alignment horizontal="center" vertical="center" wrapText="1"/>
      <protection locked="0"/>
    </xf>
    <xf numFmtId="0" fontId="23" fillId="21" borderId="32" xfId="0" applyFont="1" applyFill="1" applyBorder="1" applyAlignment="1" applyProtection="1">
      <alignment horizontal="center" vertical="center" wrapText="1"/>
      <protection locked="0"/>
    </xf>
    <xf numFmtId="0" fontId="23" fillId="21" borderId="33" xfId="0" applyFont="1" applyFill="1" applyBorder="1" applyAlignment="1" applyProtection="1">
      <alignment horizontal="center" vertical="center" wrapText="1"/>
      <protection locked="0"/>
    </xf>
    <xf numFmtId="0" fontId="23" fillId="21" borderId="34" xfId="0" applyFont="1" applyFill="1" applyBorder="1" applyAlignment="1" applyProtection="1">
      <alignment horizontal="center" vertical="center" wrapText="1"/>
      <protection locked="0"/>
    </xf>
    <xf numFmtId="0" fontId="23" fillId="22" borderId="13" xfId="0" applyFont="1" applyFill="1" applyBorder="1" applyAlignment="1" applyProtection="1">
      <alignment horizontal="center" vertical="center" wrapText="1"/>
      <protection locked="0"/>
    </xf>
    <xf numFmtId="0" fontId="23" fillId="22" borderId="32" xfId="0" applyFont="1" applyFill="1" applyBorder="1" applyAlignment="1" applyProtection="1">
      <alignment horizontal="center" vertical="center" wrapText="1"/>
      <protection locked="0"/>
    </xf>
    <xf numFmtId="0" fontId="23" fillId="22" borderId="33" xfId="0" applyFont="1" applyFill="1" applyBorder="1" applyAlignment="1" applyProtection="1">
      <alignment horizontal="center" vertical="center" wrapText="1"/>
      <protection locked="0"/>
    </xf>
    <xf numFmtId="0" fontId="23" fillId="22" borderId="34" xfId="0" applyFont="1" applyFill="1" applyBorder="1" applyAlignment="1" applyProtection="1">
      <alignment horizontal="center" vertical="center" wrapText="1"/>
      <protection locked="0"/>
    </xf>
    <xf numFmtId="0" fontId="23" fillId="23" borderId="13" xfId="0" applyFont="1" applyFill="1" applyBorder="1" applyAlignment="1" applyProtection="1">
      <alignment horizontal="center" vertical="center" wrapText="1"/>
      <protection locked="0"/>
    </xf>
    <xf numFmtId="0" fontId="23" fillId="23" borderId="32" xfId="0" applyFont="1" applyFill="1" applyBorder="1" applyAlignment="1" applyProtection="1">
      <alignment horizontal="center" vertical="center" wrapText="1"/>
      <protection locked="0"/>
    </xf>
    <xf numFmtId="0" fontId="23" fillId="23" borderId="33" xfId="0" applyFont="1" applyFill="1" applyBorder="1" applyAlignment="1" applyProtection="1">
      <alignment horizontal="center" vertical="center" wrapText="1"/>
      <protection locked="0"/>
    </xf>
    <xf numFmtId="0" fontId="23" fillId="23" borderId="34" xfId="0" applyFont="1" applyFill="1" applyBorder="1" applyAlignment="1" applyProtection="1">
      <alignment horizontal="center" vertical="center" wrapText="1"/>
      <protection locked="0"/>
    </xf>
    <xf numFmtId="0" fontId="25" fillId="24" borderId="35" xfId="0" applyFont="1" applyFill="1" applyBorder="1" applyAlignment="1" applyProtection="1">
      <alignment horizontal="center" vertical="center" wrapText="1"/>
      <protection locked="0"/>
    </xf>
    <xf numFmtId="0" fontId="0" fillId="24" borderId="35" xfId="0" applyFill="1" applyBorder="1" applyAlignment="1" applyProtection="1">
      <alignment horizontal="center" vertical="center" wrapText="1"/>
      <protection locked="0"/>
    </xf>
    <xf numFmtId="0" fontId="0" fillId="24" borderId="36" xfId="0" applyFill="1" applyBorder="1" applyAlignment="1" applyProtection="1">
      <alignment horizontal="center" vertical="center" wrapText="1"/>
      <protection locked="0"/>
    </xf>
    <xf numFmtId="0" fontId="0" fillId="24" borderId="33" xfId="0" applyFill="1" applyBorder="1" applyAlignment="1" applyProtection="1">
      <alignment horizontal="center" vertical="center" wrapText="1"/>
      <protection locked="0"/>
    </xf>
    <xf numFmtId="0" fontId="0" fillId="24" borderId="34" xfId="0" applyFill="1" applyBorder="1" applyAlignment="1" applyProtection="1">
      <alignment horizontal="center" vertical="center" wrapText="1"/>
      <protection locked="0"/>
    </xf>
    <xf numFmtId="0" fontId="25" fillId="24" borderId="13" xfId="0" applyFont="1" applyFill="1" applyBorder="1" applyAlignment="1" applyProtection="1">
      <alignment horizontal="center" vertical="center" wrapText="1"/>
      <protection locked="0"/>
    </xf>
    <xf numFmtId="0" fontId="25" fillId="24" borderId="25" xfId="0" applyFont="1" applyFill="1" applyBorder="1" applyAlignment="1" applyProtection="1">
      <alignment horizontal="center" vertical="center" wrapText="1"/>
      <protection locked="0"/>
    </xf>
    <xf numFmtId="0" fontId="30" fillId="25" borderId="35" xfId="0" applyFont="1" applyFill="1" applyBorder="1" applyAlignment="1" applyProtection="1">
      <alignment horizontal="center" vertical="center" wrapText="1"/>
      <protection locked="0"/>
    </xf>
    <xf numFmtId="0" fontId="30" fillId="25" borderId="36" xfId="0" applyFont="1" applyFill="1" applyBorder="1" applyAlignment="1" applyProtection="1">
      <alignment horizontal="center" vertical="center" wrapText="1"/>
      <protection locked="0"/>
    </xf>
    <xf numFmtId="0" fontId="30" fillId="25" borderId="33" xfId="0" applyFont="1" applyFill="1" applyBorder="1" applyAlignment="1" applyProtection="1">
      <alignment horizontal="center" vertical="center" wrapText="1"/>
      <protection locked="0"/>
    </xf>
    <xf numFmtId="0" fontId="30" fillId="25" borderId="34" xfId="0" applyFont="1" applyFill="1" applyBorder="1" applyAlignment="1" applyProtection="1">
      <alignment horizontal="center" vertical="center" wrapText="1"/>
      <protection locked="0"/>
    </xf>
  </cellXfs>
  <cellStyles count="18">
    <cellStyle name="Borde derecho" xfId="9" xr:uid="{00000000-0005-0000-0000-000000000000}"/>
    <cellStyle name="Cálculo" xfId="6" builtinId="22" hidden="1" customBuiltin="1"/>
    <cellStyle name="Color día 1" xfId="17" xr:uid="{00000000-0005-0000-0000-000004000000}"/>
    <cellStyle name="Color día 2" xfId="16" xr:uid="{00000000-0005-0000-0000-000005000000}"/>
    <cellStyle name="Color día 3" xfId="15" xr:uid="{00000000-0005-0000-0000-000006000000}"/>
    <cellStyle name="Color día 4" xfId="14" xr:uid="{00000000-0005-0000-0000-000007000000}"/>
    <cellStyle name="Color día 5" xfId="13" xr:uid="{00000000-0005-0000-0000-000008000000}"/>
    <cellStyle name="Color día 6" xfId="12" xr:uid="{00000000-0005-0000-0000-000009000000}"/>
    <cellStyle name="Color día 7" xfId="11" xr:uid="{00000000-0005-0000-0000-00000A000000}"/>
    <cellStyle name="Detalles de la tabla" xfId="10" xr:uid="{00000000-0005-0000-0000-000010000000}"/>
    <cellStyle name="Encabezado 1" xfId="2" builtinId="16" customBuiltin="1"/>
    <cellStyle name="Encabezado 4" xfId="5" builtinId="19" customBuiltin="1"/>
    <cellStyle name="Encabezado de tareas" xfId="8" xr:uid="{00000000-0005-0000-0000-000003000000}"/>
    <cellStyle name="Estilo de columna de tareas" xfId="7" xr:uid="{00000000-0005-0000-0000-000002000000}"/>
    <cellStyle name="Normal" xfId="0" builtinId="0" customBuiltin="1"/>
    <cellStyle name="Título" xfId="1" builtinId="15" customBuiltin="1"/>
    <cellStyle name="Título 2" xfId="3" builtinId="17" customBuiltin="1"/>
    <cellStyle name="Título 3" xfId="4" builtinId="18" customBuiltin="1"/>
  </cellStyles>
  <dxfs count="93"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FFC7CE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FFC7CE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FFC7CE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PivotStyle="PivotStyleLight16">
    <tableStyle name="Planificador" pivot="0" count="1" xr9:uid="{00000000-0011-0000-FFFF-FFFF00000000}">
      <tableStyleElement type="wholeTable" dxfId="92"/>
    </tableStyle>
  </tableStyles>
  <colors>
    <mruColors>
      <color rgb="FFFFAFAF"/>
      <color rgb="FF81D9C4"/>
      <color rgb="FFDAA280"/>
      <color rgb="FFE5F3E9"/>
      <color rgb="FFDBB8F6"/>
      <color rgb="FFB5C3F1"/>
      <color rgb="FFE8F4EB"/>
      <color rgb="FF248851"/>
      <color rgb="FF1D6F42"/>
      <color rgb="FF3F75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120781</xdr:colOff>
      <xdr:row>33</xdr:row>
      <xdr:rowOff>254425</xdr:rowOff>
    </xdr:from>
    <xdr:to>
      <xdr:col>33</xdr:col>
      <xdr:colOff>85725</xdr:colOff>
      <xdr:row>34</xdr:row>
      <xdr:rowOff>114300</xdr:rowOff>
    </xdr:to>
    <xdr:grpSp>
      <xdr:nvGrpSpPr>
        <xdr:cNvPr id="11" name="Espiral" descr="Forma de espiral">
          <a:extLst>
            <a:ext uri="{FF2B5EF4-FFF2-40B4-BE49-F238E27FC236}">
              <a16:creationId xmlns:a16="http://schemas.microsoft.com/office/drawing/2014/main" id="{8CE34F4C-40D5-4D87-96AB-95B451001771}"/>
            </a:ext>
          </a:extLst>
        </xdr:cNvPr>
        <xdr:cNvGrpSpPr/>
      </xdr:nvGrpSpPr>
      <xdr:grpSpPr>
        <a:xfrm>
          <a:off x="1376856" y="8413154"/>
          <a:ext cx="23277247" cy="240156"/>
          <a:chOff x="1120906" y="8550700"/>
          <a:chExt cx="10423394" cy="262675"/>
        </a:xfrm>
      </xdr:grpSpPr>
      <xdr:pic>
        <xdr:nvPicPr>
          <xdr:cNvPr id="16" name="Imagen 15" descr="Gráfico de cuaderno de espiral de encabezado de tabla">
            <a:extLst>
              <a:ext uri="{FF2B5EF4-FFF2-40B4-BE49-F238E27FC236}">
                <a16:creationId xmlns:a16="http://schemas.microsoft.com/office/drawing/2014/main" id="{6FBBC638-89CF-4926-80A0-77462DB83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906" y="8550700"/>
            <a:ext cx="3100456" cy="253150"/>
          </a:xfrm>
          <a:prstGeom prst="rect">
            <a:avLst/>
          </a:prstGeom>
        </xdr:spPr>
      </xdr:pic>
      <xdr:pic>
        <xdr:nvPicPr>
          <xdr:cNvPr id="17" name="Imagen 16" descr="Gráfico de cuaderno de espiral de encabezado de tabla">
            <a:extLst>
              <a:ext uri="{FF2B5EF4-FFF2-40B4-BE49-F238E27FC236}">
                <a16:creationId xmlns:a16="http://schemas.microsoft.com/office/drawing/2014/main" id="{8BD661E8-A1EE-43B9-935E-CD7055F2E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0356" y="8550700"/>
            <a:ext cx="3100456" cy="253150"/>
          </a:xfrm>
          <a:prstGeom prst="rect">
            <a:avLst/>
          </a:prstGeom>
        </xdr:spPr>
      </xdr:pic>
      <xdr:pic>
        <xdr:nvPicPr>
          <xdr:cNvPr id="19" name="Imagen 18" descr="Gráfico de cuaderno de espiral de encabezado de tabla">
            <a:extLst>
              <a:ext uri="{FF2B5EF4-FFF2-40B4-BE49-F238E27FC236}">
                <a16:creationId xmlns:a16="http://schemas.microsoft.com/office/drawing/2014/main" id="{5A73600E-9CE9-4084-A92D-ABC02A99D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9806" y="8560225"/>
            <a:ext cx="3100456" cy="253150"/>
          </a:xfrm>
          <a:prstGeom prst="rect">
            <a:avLst/>
          </a:prstGeom>
        </xdr:spPr>
      </xdr:pic>
      <xdr:pic>
        <xdr:nvPicPr>
          <xdr:cNvPr id="20" name="Imagen 19" descr="Gráfico de cuaderno de espiral de encabezado de tabla">
            <a:extLst>
              <a:ext uri="{FF2B5EF4-FFF2-40B4-BE49-F238E27FC236}">
                <a16:creationId xmlns:a16="http://schemas.microsoft.com/office/drawing/2014/main" id="{5E6A4823-31F7-4D49-AD28-3DB5377C8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779256" y="8560225"/>
            <a:ext cx="765044" cy="24087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142875</xdr:colOff>
      <xdr:row>2</xdr:row>
      <xdr:rowOff>4235</xdr:rowOff>
    </xdr:from>
    <xdr:to>
      <xdr:col>3</xdr:col>
      <xdr:colOff>359847</xdr:colOff>
      <xdr:row>3</xdr:row>
      <xdr:rowOff>1</xdr:rowOff>
    </xdr:to>
    <xdr:sp macro="" textlink="">
      <xdr:nvSpPr>
        <xdr:cNvPr id="21" name="Cinta de opciones: inclinada hacia arriba 36" descr="Encabezado de sección (objeto de forma)">
          <a:extLst>
            <a:ext uri="{FF2B5EF4-FFF2-40B4-BE49-F238E27FC236}">
              <a16:creationId xmlns:a16="http://schemas.microsoft.com/office/drawing/2014/main" id="{09871B1A-65BA-4D4E-9A73-7F5B1358F639}"/>
            </a:ext>
            <a:ext uri="{147F2762-F138-4A5C-976F-8EAC2B608ADB}">
              <a16:predDERef xmlns:a16="http://schemas.microsoft.com/office/drawing/2014/main" pred="{8CE34F4C-40D5-4D87-96AB-95B451001771}"/>
            </a:ext>
          </a:extLst>
        </xdr:cNvPr>
        <xdr:cNvSpPr/>
      </xdr:nvSpPr>
      <xdr:spPr>
        <a:xfrm>
          <a:off x="142875" y="547160"/>
          <a:ext cx="1773937" cy="452966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endParaRPr lang="en-001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204995</xdr:colOff>
      <xdr:row>5</xdr:row>
      <xdr:rowOff>257175</xdr:rowOff>
    </xdr:from>
    <xdr:to>
      <xdr:col>8</xdr:col>
      <xdr:colOff>196711</xdr:colOff>
      <xdr:row>6</xdr:row>
      <xdr:rowOff>112910</xdr:rowOff>
    </xdr:to>
    <xdr:pic>
      <xdr:nvPicPr>
        <xdr:cNvPr id="23" name="Imagen 22" descr="Gráfico de cuaderno de espiral de encabezado de tabla">
          <a:extLst>
            <a:ext uri="{FF2B5EF4-FFF2-40B4-BE49-F238E27FC236}">
              <a16:creationId xmlns:a16="http://schemas.microsoft.com/office/drawing/2014/main" id="{4C7AC175-94DE-40EC-81F0-12E6D0C8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252" y="1688410"/>
          <a:ext cx="4245665" cy="237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/>
  <dimension ref="A1:AJ60"/>
  <sheetViews>
    <sheetView showGridLines="0" tabSelected="1" topLeftCell="A2" zoomScale="69" zoomScaleNormal="100" workbookViewId="0">
      <selection activeCell="I50" sqref="I50"/>
    </sheetView>
  </sheetViews>
  <sheetFormatPr baseColWidth="10" defaultColWidth="9.109375" defaultRowHeight="18" customHeight="1" x14ac:dyDescent="0.3"/>
  <cols>
    <col min="1" max="1" width="6.6640625" style="1" customWidth="1"/>
    <col min="2" max="2" width="11" style="1" customWidth="1"/>
    <col min="3" max="3" width="5.6640625" style="10" customWidth="1"/>
    <col min="4" max="8" width="10.6640625" style="10" customWidth="1"/>
    <col min="9" max="9" width="5.6640625" style="10" customWidth="1"/>
    <col min="10" max="13" width="11.44140625" style="10" customWidth="1"/>
    <col min="14" max="14" width="5.6640625" style="10" customWidth="1"/>
    <col min="15" max="19" width="11.21875" style="10" customWidth="1"/>
    <col min="20" max="23" width="11.5546875" style="10" customWidth="1"/>
    <col min="24" max="24" width="5.6640625" style="10" customWidth="1"/>
    <col min="25" max="28" width="11.21875" style="10" customWidth="1"/>
    <col min="29" max="29" width="12" style="10" customWidth="1"/>
    <col min="30" max="33" width="11.109375" style="10" customWidth="1"/>
    <col min="34" max="34" width="3.6640625" style="1" customWidth="1"/>
    <col min="35" max="35" width="16.5546875" style="3" customWidth="1"/>
    <col min="36" max="36" width="8.6640625" style="3" customWidth="1"/>
    <col min="37" max="16384" width="9.109375" style="1"/>
  </cols>
  <sheetData>
    <row r="1" spans="1:36" ht="18" customHeight="1" x14ac:dyDescent="0.3">
      <c r="B1" s="11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1"/>
      <c r="AI1"/>
      <c r="AJ1"/>
    </row>
    <row r="2" spans="1:36" s="24" customFormat="1" ht="24.9" customHeight="1" x14ac:dyDescent="0.4">
      <c r="A2" s="22"/>
      <c r="B2" s="30"/>
      <c r="C2" s="31"/>
      <c r="D2" s="30"/>
      <c r="E2" s="30"/>
      <c r="F2" s="30"/>
      <c r="G2" s="30"/>
      <c r="H2" s="30"/>
      <c r="I2" s="30"/>
      <c r="J2" s="30"/>
      <c r="K2" s="32"/>
      <c r="L2" s="33"/>
      <c r="M2" s="33"/>
      <c r="N2" s="32"/>
      <c r="O2" s="30"/>
      <c r="P2" s="30"/>
      <c r="Q2" s="30"/>
      <c r="R2" s="30"/>
      <c r="S2" s="30"/>
      <c r="T2" s="32"/>
      <c r="U2" s="32"/>
      <c r="V2" s="32"/>
      <c r="W2" s="32"/>
      <c r="X2" s="32"/>
      <c r="Y2" s="32"/>
      <c r="Z2" s="32"/>
      <c r="AA2" s="32"/>
      <c r="AB2" s="32"/>
      <c r="AC2" s="33"/>
      <c r="AD2" s="33"/>
      <c r="AE2" s="30"/>
      <c r="AF2" s="30"/>
      <c r="AG2" s="30"/>
      <c r="AH2" s="30"/>
      <c r="AI2" s="23"/>
      <c r="AJ2" s="22"/>
    </row>
    <row r="3" spans="1:36" s="11" customFormat="1" ht="36" customHeight="1" x14ac:dyDescent="0.3">
      <c r="C3" s="63" t="s"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</row>
    <row r="4" spans="1:36" ht="18" customHeight="1" x14ac:dyDescent="0.3">
      <c r="A4" s="11"/>
      <c r="B4" s="1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58" t="s">
        <v>2</v>
      </c>
      <c r="R4" s="58"/>
      <c r="S4" s="58"/>
      <c r="T4" s="58"/>
      <c r="U4" s="58"/>
      <c r="V4" s="59">
        <f ca="1">TODAY()-WEEKDAY(TODAY(),2)+1</f>
        <v>45866</v>
      </c>
      <c r="W4" s="59"/>
      <c r="X4" s="59"/>
      <c r="Y4" s="59"/>
      <c r="Z4" s="59"/>
      <c r="AA4" s="13"/>
      <c r="AB4" s="13"/>
      <c r="AC4" s="13"/>
      <c r="AD4" s="13"/>
      <c r="AE4" s="13"/>
      <c r="AF4" s="13"/>
      <c r="AG4" s="13"/>
      <c r="AH4" s="15"/>
      <c r="AI4"/>
      <c r="AJ4"/>
    </row>
    <row r="5" spans="1:36" ht="18" customHeight="1" thickBot="1" x14ac:dyDescent="0.35">
      <c r="A5" s="11"/>
      <c r="B5" s="12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5"/>
      <c r="AI5"/>
      <c r="AJ5"/>
    </row>
    <row r="6" spans="1:36" s="29" customFormat="1" ht="30.05" customHeight="1" thickBot="1" x14ac:dyDescent="0.35">
      <c r="A6" s="25"/>
      <c r="B6" s="26"/>
      <c r="C6" s="65" t="s">
        <v>4</v>
      </c>
      <c r="D6" s="66"/>
      <c r="E6" s="66"/>
      <c r="F6" s="66"/>
      <c r="G6" s="66"/>
      <c r="H6" s="66"/>
      <c r="I6" s="66"/>
      <c r="J6" s="66"/>
      <c r="K6" s="66"/>
      <c r="L6" s="66"/>
      <c r="M6" s="67"/>
      <c r="N6" s="16"/>
      <c r="O6" s="13"/>
      <c r="P6" s="65" t="s">
        <v>21</v>
      </c>
      <c r="Q6" s="66"/>
      <c r="R6" s="66"/>
      <c r="S6" s="66"/>
      <c r="T6" s="66"/>
      <c r="U6" s="66"/>
      <c r="V6" s="66"/>
      <c r="W6" s="66"/>
      <c r="X6" s="66"/>
      <c r="Y6" s="66"/>
      <c r="Z6" s="67"/>
      <c r="AA6" s="13"/>
      <c r="AB6" s="13"/>
      <c r="AC6" s="65" t="s">
        <v>3</v>
      </c>
      <c r="AD6" s="66"/>
      <c r="AE6" s="66"/>
      <c r="AF6" s="66"/>
      <c r="AG6" s="66"/>
      <c r="AH6" s="27"/>
      <c r="AI6" s="28"/>
      <c r="AJ6" s="28"/>
    </row>
    <row r="7" spans="1:36" s="19" customFormat="1" ht="20.05" customHeight="1" thickBot="1" x14ac:dyDescent="0.4">
      <c r="A7"/>
      <c r="B7" s="15"/>
      <c r="C7" s="76"/>
      <c r="D7" s="77"/>
      <c r="E7" s="77"/>
      <c r="F7" s="77"/>
      <c r="G7" s="77"/>
      <c r="H7" s="77"/>
      <c r="I7" s="77"/>
      <c r="J7" s="77"/>
      <c r="K7" s="77"/>
      <c r="L7" s="77"/>
      <c r="M7" s="75"/>
      <c r="N7" s="17"/>
      <c r="O7" s="18"/>
      <c r="P7" s="6"/>
      <c r="Q7" s="60"/>
      <c r="R7" s="60"/>
      <c r="S7" s="60"/>
      <c r="T7" s="60"/>
      <c r="U7" s="60"/>
      <c r="V7" s="60"/>
      <c r="W7" s="60"/>
      <c r="X7" s="60"/>
      <c r="Y7" s="60"/>
      <c r="Z7" s="61"/>
      <c r="AA7" s="18"/>
      <c r="AB7" s="18"/>
      <c r="AC7" s="40"/>
      <c r="AD7" s="41"/>
      <c r="AE7" s="41"/>
      <c r="AF7" s="41"/>
      <c r="AG7" s="41"/>
      <c r="AH7" s="15"/>
      <c r="AI7"/>
      <c r="AJ7"/>
    </row>
    <row r="8" spans="1:36" ht="18" customHeight="1" thickBot="1" x14ac:dyDescent="0.35">
      <c r="A8" s="11"/>
      <c r="B8" s="12"/>
      <c r="C8" s="76" t="s">
        <v>11</v>
      </c>
      <c r="D8" s="77"/>
      <c r="E8" s="77"/>
      <c r="F8" s="77"/>
      <c r="G8" s="77"/>
      <c r="H8" s="77"/>
      <c r="I8" s="77"/>
      <c r="J8" s="77"/>
      <c r="K8" s="77"/>
      <c r="L8" s="77"/>
      <c r="M8" s="75" t="s">
        <v>5</v>
      </c>
      <c r="N8" s="5"/>
      <c r="O8" s="4"/>
      <c r="P8" s="7"/>
      <c r="Q8" s="50"/>
      <c r="R8" s="50"/>
      <c r="S8" s="50"/>
      <c r="T8" s="50"/>
      <c r="U8" s="50"/>
      <c r="V8" s="50"/>
      <c r="W8" s="50"/>
      <c r="X8" s="50"/>
      <c r="Y8" s="50"/>
      <c r="Z8" s="51"/>
      <c r="AA8" s="4"/>
      <c r="AB8" s="4"/>
      <c r="AC8" s="42"/>
      <c r="AD8" s="43"/>
      <c r="AE8" s="43"/>
      <c r="AF8" s="43"/>
      <c r="AG8" s="43"/>
      <c r="AH8" s="15"/>
      <c r="AI8"/>
      <c r="AJ8"/>
    </row>
    <row r="9" spans="1:36" ht="18" customHeight="1" thickBot="1" x14ac:dyDescent="0.35">
      <c r="A9" s="11"/>
      <c r="B9" s="12"/>
      <c r="C9" s="76" t="s">
        <v>12</v>
      </c>
      <c r="D9" s="77"/>
      <c r="E9" s="77"/>
      <c r="F9" s="77"/>
      <c r="G9" s="77"/>
      <c r="H9" s="77"/>
      <c r="I9" s="77"/>
      <c r="J9" s="77"/>
      <c r="K9" s="77"/>
      <c r="L9" s="77"/>
      <c r="M9" s="75" t="s">
        <v>6</v>
      </c>
      <c r="N9" s="5"/>
      <c r="O9" s="4"/>
      <c r="P9" s="7"/>
      <c r="Q9" s="50"/>
      <c r="R9" s="50"/>
      <c r="S9" s="50"/>
      <c r="T9" s="50"/>
      <c r="U9" s="50"/>
      <c r="V9" s="50"/>
      <c r="W9" s="50"/>
      <c r="X9" s="50"/>
      <c r="Y9" s="50"/>
      <c r="Z9" s="51"/>
      <c r="AA9" s="4"/>
      <c r="AB9" s="4"/>
      <c r="AC9" s="42"/>
      <c r="AD9" s="43"/>
      <c r="AE9" s="43"/>
      <c r="AF9" s="43"/>
      <c r="AG9" s="43"/>
      <c r="AH9" s="15"/>
      <c r="AI9"/>
      <c r="AJ9"/>
    </row>
    <row r="10" spans="1:36" ht="18" customHeight="1" thickBot="1" x14ac:dyDescent="0.35">
      <c r="A10" s="11"/>
      <c r="B10" s="12"/>
      <c r="C10" s="76" t="s">
        <v>13</v>
      </c>
      <c r="D10" s="77"/>
      <c r="E10" s="77"/>
      <c r="F10" s="77"/>
      <c r="G10" s="77"/>
      <c r="H10" s="77"/>
      <c r="I10" s="77"/>
      <c r="J10" s="77"/>
      <c r="K10" s="77"/>
      <c r="L10" s="77"/>
      <c r="M10" s="75" t="s">
        <v>7</v>
      </c>
      <c r="N10" s="5"/>
      <c r="O10" s="4"/>
      <c r="P10" s="7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"/>
      <c r="AB10" s="4"/>
      <c r="AC10" s="42"/>
      <c r="AD10" s="43"/>
      <c r="AE10" s="43"/>
      <c r="AF10" s="43"/>
      <c r="AG10" s="43"/>
      <c r="AH10" s="15"/>
      <c r="AI10"/>
      <c r="AJ10"/>
    </row>
    <row r="11" spans="1:36" ht="18" customHeight="1" thickBot="1" x14ac:dyDescent="0.35">
      <c r="A11" s="11"/>
      <c r="B11" s="12"/>
      <c r="C11" s="76" t="s">
        <v>14</v>
      </c>
      <c r="D11" s="77"/>
      <c r="E11" s="77"/>
      <c r="F11" s="77"/>
      <c r="G11" s="77"/>
      <c r="H11" s="77"/>
      <c r="I11" s="77"/>
      <c r="J11" s="77"/>
      <c r="K11" s="77"/>
      <c r="L11" s="77"/>
      <c r="M11" s="75" t="s">
        <v>8</v>
      </c>
      <c r="N11" s="5"/>
      <c r="O11" s="4"/>
      <c r="P11" s="7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"/>
      <c r="AB11" s="4"/>
      <c r="AC11" s="42"/>
      <c r="AD11" s="43"/>
      <c r="AE11" s="43"/>
      <c r="AF11" s="43"/>
      <c r="AG11" s="43"/>
      <c r="AH11" s="15"/>
      <c r="AI11"/>
      <c r="AJ11"/>
    </row>
    <row r="12" spans="1:36" ht="18" customHeight="1" thickBot="1" x14ac:dyDescent="0.35">
      <c r="A12" s="11"/>
      <c r="B12" s="12"/>
      <c r="C12" s="76" t="s">
        <v>15</v>
      </c>
      <c r="D12" s="77"/>
      <c r="E12" s="77"/>
      <c r="F12" s="77"/>
      <c r="G12" s="77"/>
      <c r="H12" s="77"/>
      <c r="I12" s="77"/>
      <c r="J12" s="77"/>
      <c r="K12" s="77"/>
      <c r="L12" s="77"/>
      <c r="M12" s="75" t="s">
        <v>9</v>
      </c>
      <c r="N12" s="5"/>
      <c r="O12" s="4"/>
      <c r="P12" s="8"/>
      <c r="Q12" s="52"/>
      <c r="R12" s="52"/>
      <c r="S12" s="52"/>
      <c r="T12" s="52"/>
      <c r="U12" s="52"/>
      <c r="V12" s="52"/>
      <c r="W12" s="52"/>
      <c r="X12" s="52"/>
      <c r="Y12" s="52"/>
      <c r="Z12" s="53"/>
      <c r="AA12" s="4"/>
      <c r="AB12" s="4"/>
      <c r="AC12" s="44"/>
      <c r="AD12" s="45"/>
      <c r="AE12" s="45"/>
      <c r="AF12" s="45"/>
      <c r="AG12" s="45"/>
      <c r="AH12" s="15"/>
      <c r="AI12"/>
      <c r="AJ12"/>
    </row>
    <row r="13" spans="1:36" ht="18" customHeight="1" thickBot="1" x14ac:dyDescent="0.35">
      <c r="A13" s="11"/>
      <c r="B13" s="12"/>
      <c r="C13" s="76" t="s">
        <v>16</v>
      </c>
      <c r="D13" s="77"/>
      <c r="E13" s="77"/>
      <c r="F13" s="77"/>
      <c r="G13" s="77"/>
      <c r="H13" s="77"/>
      <c r="I13" s="77"/>
      <c r="J13" s="77"/>
      <c r="K13" s="77"/>
      <c r="L13" s="77"/>
      <c r="M13" s="75" t="s">
        <v>10</v>
      </c>
      <c r="N13" s="5"/>
      <c r="O13" s="4"/>
      <c r="P13" s="8"/>
      <c r="Q13" s="52"/>
      <c r="R13" s="52"/>
      <c r="S13" s="52"/>
      <c r="T13" s="52"/>
      <c r="U13" s="52"/>
      <c r="V13" s="52"/>
      <c r="W13" s="52"/>
      <c r="X13" s="52"/>
      <c r="Y13" s="52"/>
      <c r="Z13" s="53"/>
      <c r="AA13" s="4"/>
      <c r="AB13" s="4"/>
      <c r="AC13" s="4"/>
      <c r="AD13" s="4"/>
      <c r="AE13" s="4"/>
      <c r="AF13" s="4"/>
      <c r="AG13" s="4"/>
      <c r="AH13" s="15"/>
      <c r="AI13"/>
      <c r="AJ13"/>
    </row>
    <row r="14" spans="1:36" ht="18" customHeight="1" thickBot="1" x14ac:dyDescent="0.35">
      <c r="A14" s="11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5"/>
      <c r="AI14"/>
      <c r="AJ14"/>
    </row>
    <row r="15" spans="1:36" ht="18" customHeight="1" x14ac:dyDescent="0.3">
      <c r="A15" s="11"/>
      <c r="B15" s="12"/>
      <c r="C15" s="46" t="str">
        <f ca="1">TEXT(FechaDeinicio+0,"dd")</f>
        <v>28</v>
      </c>
      <c r="D15" s="47"/>
      <c r="E15" s="54" t="str">
        <f ca="1">(TEXT(FechaDeinicio+0,"dddd"))</f>
        <v>lunes</v>
      </c>
      <c r="F15" s="54"/>
      <c r="G15" s="54"/>
      <c r="H15" s="55"/>
      <c r="I15" s="38" t="str">
        <f ca="1">TEXT(FechaDeinicio+1,"dd")</f>
        <v>29</v>
      </c>
      <c r="J15" s="38"/>
      <c r="K15" s="54" t="str">
        <f ca="1">(TEXT(FechaDeinicio+1,"dddd"))</f>
        <v>martes</v>
      </c>
      <c r="L15" s="54"/>
      <c r="M15" s="54"/>
      <c r="N15" s="38" t="str">
        <f ca="1">TEXT(FechaDeinicio+2,"dd")</f>
        <v>30</v>
      </c>
      <c r="O15" s="38"/>
      <c r="P15" s="34" t="str">
        <f ca="1">(TEXT(FechaDeinicio+2,"dddd"))</f>
        <v>miércoles</v>
      </c>
      <c r="Q15" s="34"/>
      <c r="R15" s="34"/>
      <c r="S15" s="38" t="str">
        <f ca="1">TEXT(FechaDeinicio+3,"dd")</f>
        <v>31</v>
      </c>
      <c r="T15" s="38"/>
      <c r="U15" s="54" t="str">
        <f ca="1">(TEXT(FechaDeinicio+3,"dddd"))</f>
        <v>jueves</v>
      </c>
      <c r="V15" s="54"/>
      <c r="W15" s="54"/>
      <c r="X15" s="38" t="str">
        <f ca="1">TEXT(FechaDeinicio+4,"dd")</f>
        <v>01</v>
      </c>
      <c r="Y15" s="38"/>
      <c r="Z15" s="54" t="str">
        <f ca="1">(TEXT(FechaDeinicio+4,"dddd"))</f>
        <v>viernes</v>
      </c>
      <c r="AA15" s="54"/>
      <c r="AB15" s="54"/>
      <c r="AC15" s="38" t="str">
        <f ca="1">TEXT(FechaDeinicio+5,"dd")</f>
        <v>02</v>
      </c>
      <c r="AD15" s="38"/>
      <c r="AE15" s="54" t="str">
        <f ca="1">(TEXT(FechaDeinicio+5,"dddd"))</f>
        <v>sábado</v>
      </c>
      <c r="AF15" s="54"/>
      <c r="AG15" s="54"/>
      <c r="AH15" s="15"/>
      <c r="AI15"/>
      <c r="AJ15"/>
    </row>
    <row r="16" spans="1:36" ht="20.05" customHeight="1" thickBot="1" x14ac:dyDescent="0.35">
      <c r="A16" s="11"/>
      <c r="B16" s="12"/>
      <c r="C16" s="48"/>
      <c r="D16" s="49"/>
      <c r="E16" s="56" t="str">
        <f ca="1">(TEXT(FechaDeinicio+0,"mmmm"))</f>
        <v>Julio</v>
      </c>
      <c r="F16" s="56"/>
      <c r="G16" s="56"/>
      <c r="H16" s="57"/>
      <c r="I16" s="39"/>
      <c r="J16" s="39"/>
      <c r="K16" s="56" t="str">
        <f ca="1">(TEXT(FechaDeinicio+1,"mmmm"))</f>
        <v>Julio</v>
      </c>
      <c r="L16" s="56"/>
      <c r="M16" s="56"/>
      <c r="N16" s="39"/>
      <c r="O16" s="39"/>
      <c r="P16" s="35" t="str">
        <f ca="1">(TEXT(FechaDeinicio+2,"mmmm"))</f>
        <v>Julio</v>
      </c>
      <c r="Q16" s="35"/>
      <c r="R16" s="35"/>
      <c r="S16" s="39"/>
      <c r="T16" s="39"/>
      <c r="U16" s="56" t="str">
        <f ca="1">(TEXT(FechaDeinicio+3,"mmmm"))</f>
        <v>Julio</v>
      </c>
      <c r="V16" s="56"/>
      <c r="W16" s="56"/>
      <c r="X16" s="39"/>
      <c r="Y16" s="39"/>
      <c r="Z16" s="56" t="str">
        <f ca="1">(TEXT(FechaDeinicio+4,"mmmm"))</f>
        <v>Agosto</v>
      </c>
      <c r="AA16" s="56"/>
      <c r="AB16" s="56"/>
      <c r="AC16" s="39"/>
      <c r="AD16" s="39"/>
      <c r="AE16" s="56" t="str">
        <f ca="1">(TEXT(FechaDeinicio+5,"mmmm"))</f>
        <v>Agosto</v>
      </c>
      <c r="AF16" s="56"/>
      <c r="AG16" s="56"/>
      <c r="AH16" s="15"/>
      <c r="AI16"/>
      <c r="AJ16"/>
    </row>
    <row r="17" spans="1:36" ht="20.05" customHeight="1" x14ac:dyDescent="0.3">
      <c r="A17" s="11"/>
      <c r="B17" s="12"/>
      <c r="C17" s="9"/>
      <c r="D17" s="100" t="s">
        <v>36</v>
      </c>
      <c r="E17" s="100"/>
      <c r="F17" s="100"/>
      <c r="G17" s="100"/>
      <c r="H17" s="101"/>
      <c r="I17" s="9"/>
      <c r="J17" s="104" t="s">
        <v>31</v>
      </c>
      <c r="K17" s="105"/>
      <c r="L17" s="105"/>
      <c r="M17" s="106"/>
      <c r="N17" s="9"/>
      <c r="O17" s="109" t="s">
        <v>32</v>
      </c>
      <c r="P17" s="109"/>
      <c r="Q17" s="109"/>
      <c r="R17" s="109"/>
      <c r="S17" s="109"/>
      <c r="T17" s="100" t="s">
        <v>34</v>
      </c>
      <c r="U17" s="100"/>
      <c r="V17" s="100"/>
      <c r="W17" s="100"/>
      <c r="X17" s="9"/>
      <c r="Y17" s="86"/>
      <c r="Z17" s="86"/>
      <c r="AA17" s="86"/>
      <c r="AB17" s="87"/>
      <c r="AC17" s="9"/>
      <c r="AD17" s="86"/>
      <c r="AE17" s="86"/>
      <c r="AF17" s="86"/>
      <c r="AG17" s="87"/>
      <c r="AH17" s="15"/>
      <c r="AI17"/>
      <c r="AJ17"/>
    </row>
    <row r="18" spans="1:36" ht="20.05" customHeight="1" thickBot="1" x14ac:dyDescent="0.35">
      <c r="A18" s="11"/>
      <c r="B18" s="12"/>
      <c r="C18" s="7"/>
      <c r="D18" s="102"/>
      <c r="E18" s="102"/>
      <c r="F18" s="102"/>
      <c r="G18" s="102"/>
      <c r="H18" s="103"/>
      <c r="I18" s="7"/>
      <c r="J18" s="107"/>
      <c r="K18" s="107"/>
      <c r="L18" s="107"/>
      <c r="M18" s="108"/>
      <c r="N18" s="7"/>
      <c r="O18" s="110"/>
      <c r="P18" s="110"/>
      <c r="Q18" s="110"/>
      <c r="R18" s="110"/>
      <c r="S18" s="110"/>
      <c r="T18" s="102"/>
      <c r="U18" s="102"/>
      <c r="V18" s="102"/>
      <c r="W18" s="102"/>
      <c r="X18" s="7"/>
      <c r="Y18" s="84"/>
      <c r="Z18" s="84"/>
      <c r="AA18" s="84"/>
      <c r="AB18" s="85"/>
      <c r="AC18" s="7"/>
      <c r="AD18" s="84"/>
      <c r="AE18" s="84"/>
      <c r="AF18" s="84"/>
      <c r="AG18" s="85"/>
      <c r="AH18" s="15"/>
      <c r="AI18"/>
      <c r="AJ18"/>
    </row>
    <row r="19" spans="1:36" ht="18" customHeight="1" x14ac:dyDescent="0.3">
      <c r="A19" s="11"/>
      <c r="B19" s="12"/>
      <c r="C19" s="7"/>
      <c r="D19" s="96" t="s">
        <v>20</v>
      </c>
      <c r="E19" s="96"/>
      <c r="F19" s="96"/>
      <c r="G19" s="96"/>
      <c r="H19" s="97"/>
      <c r="I19" s="7"/>
      <c r="J19" s="86"/>
      <c r="K19" s="86"/>
      <c r="L19" s="86"/>
      <c r="M19" s="87"/>
      <c r="N19" s="7"/>
      <c r="O19" s="96" t="s">
        <v>19</v>
      </c>
      <c r="P19" s="96"/>
      <c r="Q19" s="96"/>
      <c r="R19" s="96"/>
      <c r="S19" s="97"/>
      <c r="T19" s="104" t="s">
        <v>33</v>
      </c>
      <c r="U19" s="105"/>
      <c r="V19" s="105"/>
      <c r="W19" s="106"/>
      <c r="X19" s="7"/>
      <c r="Y19" s="104" t="s">
        <v>33</v>
      </c>
      <c r="Z19" s="105"/>
      <c r="AA19" s="105"/>
      <c r="AB19" s="106"/>
      <c r="AC19" s="7"/>
      <c r="AD19" s="86"/>
      <c r="AE19" s="86"/>
      <c r="AF19" s="86"/>
      <c r="AG19" s="87"/>
      <c r="AH19" s="15"/>
      <c r="AI19"/>
      <c r="AJ19"/>
    </row>
    <row r="20" spans="1:36" ht="18" customHeight="1" x14ac:dyDescent="0.3">
      <c r="A20" s="11"/>
      <c r="B20" s="12"/>
      <c r="C20" s="7"/>
      <c r="D20" s="98"/>
      <c r="E20" s="98"/>
      <c r="F20" s="98"/>
      <c r="G20" s="98"/>
      <c r="H20" s="99"/>
      <c r="I20" s="7"/>
      <c r="J20" s="84"/>
      <c r="K20" s="84"/>
      <c r="L20" s="84"/>
      <c r="M20" s="85"/>
      <c r="N20" s="7"/>
      <c r="O20" s="98"/>
      <c r="P20" s="98"/>
      <c r="Q20" s="98"/>
      <c r="R20" s="98"/>
      <c r="S20" s="99"/>
      <c r="T20" s="107"/>
      <c r="U20" s="107"/>
      <c r="V20" s="107"/>
      <c r="W20" s="108"/>
      <c r="X20" s="7"/>
      <c r="Y20" s="107"/>
      <c r="Z20" s="107"/>
      <c r="AA20" s="107"/>
      <c r="AB20" s="108"/>
      <c r="AC20" s="7"/>
      <c r="AD20" s="84"/>
      <c r="AE20" s="84"/>
      <c r="AF20" s="84"/>
      <c r="AG20" s="85"/>
      <c r="AH20" s="15"/>
      <c r="AI20"/>
      <c r="AJ20"/>
    </row>
    <row r="21" spans="1:36" ht="18" customHeight="1" x14ac:dyDescent="0.3">
      <c r="A21" s="11"/>
      <c r="B21" s="12"/>
      <c r="C21" s="7"/>
      <c r="D21" s="86"/>
      <c r="E21" s="86"/>
      <c r="F21" s="86"/>
      <c r="G21" s="86"/>
      <c r="H21" s="87"/>
      <c r="I21" s="7"/>
      <c r="J21" s="86"/>
      <c r="K21" s="86"/>
      <c r="L21" s="86"/>
      <c r="M21" s="87"/>
      <c r="N21" s="7"/>
      <c r="O21" s="86"/>
      <c r="P21" s="86"/>
      <c r="Q21" s="86"/>
      <c r="R21" s="86"/>
      <c r="S21" s="87"/>
      <c r="T21" s="86"/>
      <c r="U21" s="86"/>
      <c r="V21" s="86"/>
      <c r="W21" s="87"/>
      <c r="X21" s="7"/>
      <c r="Y21" s="86"/>
      <c r="Z21" s="86"/>
      <c r="AA21" s="86"/>
      <c r="AB21" s="87"/>
      <c r="AC21" s="7"/>
      <c r="AD21" s="86"/>
      <c r="AE21" s="86"/>
      <c r="AF21" s="86"/>
      <c r="AG21" s="87"/>
      <c r="AH21" s="15"/>
      <c r="AI21"/>
      <c r="AJ21"/>
    </row>
    <row r="22" spans="1:36" ht="18" customHeight="1" x14ac:dyDescent="0.3">
      <c r="A22" s="11"/>
      <c r="B22" s="12"/>
      <c r="C22" s="7"/>
      <c r="D22" s="84"/>
      <c r="E22" s="84"/>
      <c r="F22" s="84"/>
      <c r="G22" s="84"/>
      <c r="H22" s="85"/>
      <c r="I22" s="7"/>
      <c r="J22" s="84"/>
      <c r="K22" s="84"/>
      <c r="L22" s="84"/>
      <c r="M22" s="85"/>
      <c r="N22" s="7"/>
      <c r="O22" s="84"/>
      <c r="P22" s="84"/>
      <c r="Q22" s="84"/>
      <c r="R22" s="84"/>
      <c r="S22" s="85"/>
      <c r="T22" s="84"/>
      <c r="U22" s="84"/>
      <c r="V22" s="84"/>
      <c r="W22" s="85"/>
      <c r="X22" s="7"/>
      <c r="Y22" s="84"/>
      <c r="Z22" s="84"/>
      <c r="AA22" s="84"/>
      <c r="AB22" s="85"/>
      <c r="AC22" s="7"/>
      <c r="AD22" s="84"/>
      <c r="AE22" s="84"/>
      <c r="AF22" s="84"/>
      <c r="AG22" s="85"/>
      <c r="AH22" s="15"/>
      <c r="AI22"/>
      <c r="AJ22"/>
    </row>
    <row r="23" spans="1:36" ht="18" customHeight="1" x14ac:dyDescent="0.3">
      <c r="A23" s="11"/>
      <c r="B23" s="12"/>
      <c r="C23" s="7"/>
      <c r="D23" s="86"/>
      <c r="E23" s="86"/>
      <c r="F23" s="86"/>
      <c r="G23" s="86"/>
      <c r="H23" s="87"/>
      <c r="I23" s="7"/>
      <c r="J23" s="86"/>
      <c r="K23" s="86"/>
      <c r="L23" s="86"/>
      <c r="M23" s="87"/>
      <c r="N23" s="7"/>
      <c r="O23" s="111" t="s">
        <v>39</v>
      </c>
      <c r="P23" s="111"/>
      <c r="Q23" s="111"/>
      <c r="R23" s="111"/>
      <c r="S23" s="112"/>
      <c r="T23" s="86"/>
      <c r="U23" s="86"/>
      <c r="V23" s="86"/>
      <c r="W23" s="87"/>
      <c r="X23" s="7"/>
      <c r="Y23" s="86"/>
      <c r="Z23" s="86"/>
      <c r="AA23" s="86"/>
      <c r="AB23" s="87"/>
      <c r="AC23" s="7"/>
      <c r="AD23" s="86"/>
      <c r="AE23" s="86"/>
      <c r="AF23" s="86"/>
      <c r="AG23" s="87"/>
      <c r="AH23" s="15"/>
      <c r="AI23"/>
      <c r="AJ23"/>
    </row>
    <row r="24" spans="1:36" ht="18" customHeight="1" thickBot="1" x14ac:dyDescent="0.35">
      <c r="A24" s="11"/>
      <c r="B24" s="12"/>
      <c r="C24" s="7"/>
      <c r="D24" s="84"/>
      <c r="E24" s="84"/>
      <c r="F24" s="84"/>
      <c r="G24" s="84"/>
      <c r="H24" s="85"/>
      <c r="I24" s="7"/>
      <c r="J24" s="84"/>
      <c r="K24" s="84"/>
      <c r="L24" s="84"/>
      <c r="M24" s="85"/>
      <c r="N24" s="7"/>
      <c r="O24" s="113"/>
      <c r="P24" s="113"/>
      <c r="Q24" s="113"/>
      <c r="R24" s="113"/>
      <c r="S24" s="114"/>
      <c r="T24" s="84"/>
      <c r="U24" s="84"/>
      <c r="V24" s="84"/>
      <c r="W24" s="85"/>
      <c r="X24" s="7"/>
      <c r="Y24" s="84"/>
      <c r="Z24" s="84"/>
      <c r="AA24" s="84"/>
      <c r="AB24" s="85"/>
      <c r="AC24" s="7"/>
      <c r="AD24" s="84"/>
      <c r="AE24" s="84"/>
      <c r="AF24" s="84"/>
      <c r="AG24" s="85"/>
      <c r="AH24" s="15"/>
      <c r="AI24"/>
      <c r="AJ24"/>
    </row>
    <row r="25" spans="1:36" ht="31.3" customHeight="1" x14ac:dyDescent="0.3">
      <c r="A25" s="11"/>
      <c r="B25" s="12"/>
      <c r="C25" s="7"/>
      <c r="D25" s="109" t="s">
        <v>38</v>
      </c>
      <c r="E25" s="109"/>
      <c r="F25" s="109"/>
      <c r="G25" s="109"/>
      <c r="H25" s="109"/>
      <c r="I25" s="7"/>
      <c r="J25" s="86"/>
      <c r="K25" s="86"/>
      <c r="L25" s="86"/>
      <c r="M25" s="87"/>
      <c r="N25" s="7"/>
      <c r="O25" s="86"/>
      <c r="P25" s="86"/>
      <c r="Q25" s="86"/>
      <c r="R25" s="86"/>
      <c r="S25" s="87"/>
      <c r="T25" s="86"/>
      <c r="U25" s="86"/>
      <c r="V25" s="86"/>
      <c r="W25" s="87"/>
      <c r="X25" s="7"/>
      <c r="Y25" s="86"/>
      <c r="Z25" s="86"/>
      <c r="AA25" s="86"/>
      <c r="AB25" s="87"/>
      <c r="AC25" s="7"/>
      <c r="AD25" s="86"/>
      <c r="AE25" s="86"/>
      <c r="AF25" s="86"/>
      <c r="AG25" s="87"/>
      <c r="AH25" s="15"/>
      <c r="AI25"/>
      <c r="AJ25"/>
    </row>
    <row r="26" spans="1:36" ht="27.55" customHeight="1" thickBot="1" x14ac:dyDescent="0.35">
      <c r="A26" s="11"/>
      <c r="B26" s="12"/>
      <c r="C26" s="7"/>
      <c r="D26" s="110"/>
      <c r="E26" s="110"/>
      <c r="F26" s="110"/>
      <c r="G26" s="110"/>
      <c r="H26" s="110"/>
      <c r="I26" s="7"/>
      <c r="J26" s="84"/>
      <c r="K26" s="84"/>
      <c r="L26" s="84"/>
      <c r="M26" s="85"/>
      <c r="N26" s="7"/>
      <c r="O26" s="84"/>
      <c r="P26" s="84"/>
      <c r="Q26" s="84"/>
      <c r="R26" s="84"/>
      <c r="S26" s="85"/>
      <c r="T26" s="84"/>
      <c r="U26" s="84"/>
      <c r="V26" s="84"/>
      <c r="W26" s="85"/>
      <c r="X26" s="7"/>
      <c r="Y26" s="84"/>
      <c r="Z26" s="84"/>
      <c r="AA26" s="84"/>
      <c r="AB26" s="85"/>
      <c r="AC26" s="7"/>
      <c r="AD26" s="84"/>
      <c r="AE26" s="84"/>
      <c r="AF26" s="84"/>
      <c r="AG26" s="85"/>
      <c r="AH26" s="15"/>
      <c r="AI26"/>
      <c r="AJ26"/>
    </row>
    <row r="27" spans="1:36" ht="18" customHeight="1" x14ac:dyDescent="0.3">
      <c r="A27" s="11"/>
      <c r="B27" s="12"/>
      <c r="C27" s="7"/>
      <c r="D27" s="92" t="s">
        <v>37</v>
      </c>
      <c r="E27" s="92"/>
      <c r="F27" s="92"/>
      <c r="G27" s="92"/>
      <c r="H27" s="93"/>
      <c r="I27" s="7"/>
      <c r="J27" s="86"/>
      <c r="K27" s="86"/>
      <c r="L27" s="86"/>
      <c r="M27" s="87"/>
      <c r="N27" s="7"/>
      <c r="O27" s="92" t="s">
        <v>18</v>
      </c>
      <c r="P27" s="92"/>
      <c r="Q27" s="92"/>
      <c r="R27" s="92"/>
      <c r="S27" s="93"/>
      <c r="T27" s="86"/>
      <c r="U27" s="86"/>
      <c r="V27" s="86"/>
      <c r="W27" s="87"/>
      <c r="X27" s="7"/>
      <c r="Y27" s="88" t="s">
        <v>17</v>
      </c>
      <c r="Z27" s="88"/>
      <c r="AA27" s="88"/>
      <c r="AB27" s="89"/>
      <c r="AC27" s="7"/>
      <c r="AD27" s="86"/>
      <c r="AE27" s="86"/>
      <c r="AF27" s="86"/>
      <c r="AG27" s="87"/>
      <c r="AH27" s="15"/>
      <c r="AI27"/>
      <c r="AJ27"/>
    </row>
    <row r="28" spans="1:36" ht="18" customHeight="1" thickBot="1" x14ac:dyDescent="0.35">
      <c r="A28" s="11"/>
      <c r="B28" s="12"/>
      <c r="C28" s="7"/>
      <c r="D28" s="94"/>
      <c r="E28" s="94"/>
      <c r="F28" s="94"/>
      <c r="G28" s="94"/>
      <c r="H28" s="95"/>
      <c r="I28" s="7"/>
      <c r="J28" s="84"/>
      <c r="K28" s="84"/>
      <c r="L28" s="84"/>
      <c r="M28" s="85"/>
      <c r="N28" s="7"/>
      <c r="O28" s="94"/>
      <c r="P28" s="94"/>
      <c r="Q28" s="94"/>
      <c r="R28" s="94"/>
      <c r="S28" s="95"/>
      <c r="T28" s="84"/>
      <c r="U28" s="84"/>
      <c r="V28" s="84"/>
      <c r="W28" s="85"/>
      <c r="X28" s="7"/>
      <c r="Y28" s="90"/>
      <c r="Z28" s="90"/>
      <c r="AA28" s="90"/>
      <c r="AB28" s="91"/>
      <c r="AC28" s="7"/>
      <c r="AD28" s="84"/>
      <c r="AE28" s="84"/>
      <c r="AF28" s="84"/>
      <c r="AG28" s="85"/>
      <c r="AH28" s="15"/>
      <c r="AI28"/>
      <c r="AJ28"/>
    </row>
    <row r="29" spans="1:36" ht="18" customHeight="1" x14ac:dyDescent="0.3">
      <c r="A29" s="11"/>
      <c r="B29" s="12"/>
      <c r="C29" s="7"/>
      <c r="D29" s="100" t="s">
        <v>35</v>
      </c>
      <c r="E29" s="100"/>
      <c r="F29" s="100"/>
      <c r="G29" s="100"/>
      <c r="H29" s="101"/>
      <c r="I29" s="7"/>
      <c r="J29" s="86"/>
      <c r="K29" s="86"/>
      <c r="L29" s="86"/>
      <c r="M29" s="87"/>
      <c r="N29" s="7"/>
      <c r="O29" s="100" t="s">
        <v>35</v>
      </c>
      <c r="P29" s="100"/>
      <c r="Q29" s="100"/>
      <c r="R29" s="100"/>
      <c r="S29" s="101"/>
      <c r="T29" s="86"/>
      <c r="U29" s="86"/>
      <c r="V29" s="86"/>
      <c r="W29" s="87"/>
      <c r="X29" s="7"/>
      <c r="Y29" s="86"/>
      <c r="Z29" s="86"/>
      <c r="AA29" s="86"/>
      <c r="AB29" s="87"/>
      <c r="AC29" s="7"/>
      <c r="AD29" s="86"/>
      <c r="AE29" s="86"/>
      <c r="AF29" s="86"/>
      <c r="AG29" s="87"/>
      <c r="AH29" s="15"/>
      <c r="AI29"/>
      <c r="AJ29"/>
    </row>
    <row r="30" spans="1:36" ht="18" customHeight="1" x14ac:dyDescent="0.3">
      <c r="A30" s="11"/>
      <c r="B30" s="12"/>
      <c r="C30" s="7"/>
      <c r="D30" s="102"/>
      <c r="E30" s="102"/>
      <c r="F30" s="102"/>
      <c r="G30" s="102"/>
      <c r="H30" s="103"/>
      <c r="I30" s="7"/>
      <c r="J30" s="84"/>
      <c r="K30" s="84"/>
      <c r="L30" s="84"/>
      <c r="M30" s="85"/>
      <c r="N30" s="7"/>
      <c r="O30" s="102"/>
      <c r="P30" s="102"/>
      <c r="Q30" s="102"/>
      <c r="R30" s="102"/>
      <c r="S30" s="103"/>
      <c r="T30" s="84"/>
      <c r="U30" s="84"/>
      <c r="V30" s="84"/>
      <c r="W30" s="85"/>
      <c r="X30" s="7"/>
      <c r="Y30" s="84"/>
      <c r="Z30" s="84"/>
      <c r="AA30" s="84"/>
      <c r="AB30" s="85"/>
      <c r="AC30" s="7"/>
      <c r="AD30" s="84"/>
      <c r="AE30" s="84"/>
      <c r="AF30" s="84"/>
      <c r="AG30" s="85"/>
      <c r="AH30" s="15"/>
      <c r="AI30"/>
      <c r="AJ30"/>
    </row>
    <row r="31" spans="1:36" ht="18" customHeight="1" thickBot="1" x14ac:dyDescent="0.35">
      <c r="A31" s="11"/>
      <c r="B31" s="12"/>
      <c r="C31" s="8"/>
      <c r="D31" s="73"/>
      <c r="E31" s="73"/>
      <c r="F31" s="73"/>
      <c r="G31" s="73"/>
      <c r="H31" s="74"/>
      <c r="I31" s="8"/>
      <c r="J31" s="62"/>
      <c r="K31" s="62"/>
      <c r="L31" s="62"/>
      <c r="M31" s="62"/>
      <c r="N31" s="8"/>
      <c r="O31" s="73"/>
      <c r="P31" s="73"/>
      <c r="Q31" s="73"/>
      <c r="R31" s="73"/>
      <c r="S31" s="74"/>
      <c r="T31" s="62"/>
      <c r="U31" s="62"/>
      <c r="V31" s="62"/>
      <c r="W31" s="62"/>
      <c r="X31" s="8"/>
      <c r="Y31" s="62"/>
      <c r="Z31" s="62"/>
      <c r="AA31" s="62"/>
      <c r="AB31" s="62"/>
      <c r="AC31" s="8"/>
      <c r="AD31" s="62"/>
      <c r="AE31" s="62"/>
      <c r="AF31" s="62"/>
      <c r="AG31" s="62"/>
      <c r="AH31" s="15"/>
      <c r="AI31"/>
      <c r="AJ31"/>
    </row>
    <row r="32" spans="1:36" ht="18" customHeight="1" x14ac:dyDescent="0.3">
      <c r="A32" s="11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5"/>
      <c r="AI32"/>
      <c r="AJ32"/>
    </row>
    <row r="33" spans="1:36" ht="18" customHeight="1" thickBot="1" x14ac:dyDescent="0.35">
      <c r="A33" s="11"/>
      <c r="B33" s="1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/>
      <c r="AJ33"/>
    </row>
    <row r="34" spans="1:36" ht="30.05" customHeight="1" thickBot="1" x14ac:dyDescent="0.35">
      <c r="A34" s="11"/>
      <c r="B34" s="12"/>
      <c r="C34" s="68" t="s">
        <v>1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15"/>
      <c r="AI34"/>
      <c r="AJ34"/>
    </row>
    <row r="35" spans="1:36" s="19" customFormat="1" ht="21" customHeight="1" x14ac:dyDescent="0.35">
      <c r="A35" s="20"/>
      <c r="B35" s="21"/>
      <c r="C35" s="7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15"/>
      <c r="AI35"/>
      <c r="AJ35"/>
    </row>
    <row r="36" spans="1:36" s="19" customFormat="1" ht="21" customHeight="1" x14ac:dyDescent="0.35">
      <c r="A36" s="20"/>
      <c r="B36" s="21"/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15"/>
      <c r="AI36"/>
      <c r="AJ36"/>
    </row>
    <row r="37" spans="1:36" ht="18" customHeight="1" x14ac:dyDescent="0.3">
      <c r="A37" s="11"/>
      <c r="B37" s="12"/>
      <c r="C37" s="71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15"/>
      <c r="AI37"/>
      <c r="AJ37"/>
    </row>
    <row r="38" spans="1:36" ht="18" customHeight="1" thickBot="1" x14ac:dyDescent="0.35">
      <c r="A38" s="11"/>
      <c r="B38" s="12"/>
      <c r="C38" s="7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15"/>
      <c r="AI38"/>
      <c r="AJ38"/>
    </row>
    <row r="39" spans="1:36" ht="18" customHeight="1" x14ac:dyDescent="0.3">
      <c r="A39" s="11"/>
      <c r="B39" s="1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/>
    </row>
    <row r="40" spans="1:36" customFormat="1" ht="18" customHeight="1" x14ac:dyDescent="0.3"/>
    <row r="41" spans="1:36" ht="18" customHeight="1" x14ac:dyDescent="0.3">
      <c r="A41" s="11"/>
      <c r="B41" s="11"/>
      <c r="C41"/>
      <c r="D41"/>
      <c r="E41"/>
      <c r="F41"/>
      <c r="G41" s="78"/>
      <c r="H41"/>
      <c r="I41"/>
      <c r="J41"/>
      <c r="K41"/>
      <c r="L41"/>
      <c r="M41"/>
      <c r="N41"/>
      <c r="O41"/>
      <c r="P41"/>
      <c r="Q41"/>
      <c r="R41" s="78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s="11"/>
      <c r="AI41"/>
    </row>
    <row r="42" spans="1:36" ht="18" customHeight="1" x14ac:dyDescent="0.3">
      <c r="A42" s="11"/>
      <c r="B42" s="11" t="s">
        <v>5</v>
      </c>
      <c r="C42"/>
      <c r="D42"/>
      <c r="E42"/>
      <c r="F42"/>
      <c r="G42" s="79"/>
      <c r="H42"/>
      <c r="I42"/>
      <c r="J42"/>
      <c r="K42"/>
      <c r="L42"/>
      <c r="M42"/>
      <c r="N42"/>
      <c r="O42"/>
      <c r="P42"/>
      <c r="Q42"/>
      <c r="R42" s="79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s="11"/>
      <c r="AI42"/>
    </row>
    <row r="43" spans="1:36" ht="18" customHeight="1" x14ac:dyDescent="0.3">
      <c r="B43" s="11" t="s">
        <v>6</v>
      </c>
      <c r="G43" s="80"/>
      <c r="R43" s="80"/>
    </row>
    <row r="44" spans="1:36" ht="18" customHeight="1" x14ac:dyDescent="0.3">
      <c r="B44" s="11" t="s">
        <v>7</v>
      </c>
      <c r="G44" s="81"/>
      <c r="R44" s="81"/>
    </row>
    <row r="45" spans="1:36" ht="18" customHeight="1" x14ac:dyDescent="0.3">
      <c r="B45" s="11" t="s">
        <v>8</v>
      </c>
      <c r="G45" s="82"/>
      <c r="R45" s="82"/>
    </row>
    <row r="46" spans="1:36" ht="18" customHeight="1" x14ac:dyDescent="0.3">
      <c r="B46" s="11" t="s">
        <v>9</v>
      </c>
      <c r="G46" s="83"/>
      <c r="R46" s="83"/>
    </row>
    <row r="47" spans="1:36" ht="18" customHeight="1" x14ac:dyDescent="0.3">
      <c r="B47" s="11" t="s">
        <v>10</v>
      </c>
    </row>
    <row r="52" spans="6:6" ht="18" customHeight="1" x14ac:dyDescent="0.3">
      <c r="F52" s="10" t="s">
        <v>22</v>
      </c>
    </row>
    <row r="53" spans="6:6" ht="18" customHeight="1" x14ac:dyDescent="0.3">
      <c r="F53" s="10" t="s">
        <v>23</v>
      </c>
    </row>
    <row r="54" spans="6:6" ht="18" customHeight="1" x14ac:dyDescent="0.3">
      <c r="F54" s="10" t="s">
        <v>24</v>
      </c>
    </row>
    <row r="55" spans="6:6" ht="18" customHeight="1" x14ac:dyDescent="0.3">
      <c r="F55" s="10" t="s">
        <v>25</v>
      </c>
    </row>
    <row r="56" spans="6:6" ht="18" customHeight="1" x14ac:dyDescent="0.3">
      <c r="F56" s="10" t="s">
        <v>26</v>
      </c>
    </row>
    <row r="57" spans="6:6" ht="18" customHeight="1" x14ac:dyDescent="0.3">
      <c r="F57" s="10" t="s">
        <v>27</v>
      </c>
    </row>
    <row r="58" spans="6:6" ht="18" customHeight="1" x14ac:dyDescent="0.3">
      <c r="F58" s="10" t="s">
        <v>28</v>
      </c>
    </row>
    <row r="59" spans="6:6" ht="18" customHeight="1" x14ac:dyDescent="0.3">
      <c r="F59" s="10" t="s">
        <v>29</v>
      </c>
    </row>
    <row r="60" spans="6:6" ht="18" customHeight="1" x14ac:dyDescent="0.3">
      <c r="F60" s="10" t="s">
        <v>30</v>
      </c>
    </row>
  </sheetData>
  <sheetProtection selectLockedCells="1"/>
  <mergeCells count="95">
    <mergeCell ref="AD19:AG20"/>
    <mergeCell ref="AD17:AG18"/>
    <mergeCell ref="AD21:AG22"/>
    <mergeCell ref="AD23:AG24"/>
    <mergeCell ref="AD25:AG26"/>
    <mergeCell ref="AD27:AG28"/>
    <mergeCell ref="AD29:AG30"/>
    <mergeCell ref="D17:H18"/>
    <mergeCell ref="O17:S18"/>
    <mergeCell ref="T17:W18"/>
    <mergeCell ref="T19:W20"/>
    <mergeCell ref="T21:W22"/>
    <mergeCell ref="T23:W24"/>
    <mergeCell ref="T25:W26"/>
    <mergeCell ref="T27:W28"/>
    <mergeCell ref="T29:W30"/>
    <mergeCell ref="Y19:AB20"/>
    <mergeCell ref="Y21:AB22"/>
    <mergeCell ref="Y23:AB24"/>
    <mergeCell ref="Y25:AB26"/>
    <mergeCell ref="Y27:AB28"/>
    <mergeCell ref="Y29:AB30"/>
    <mergeCell ref="Y17:AB18"/>
    <mergeCell ref="O21:S22"/>
    <mergeCell ref="O23:S24"/>
    <mergeCell ref="O25:S26"/>
    <mergeCell ref="O27:S28"/>
    <mergeCell ref="O29:S30"/>
    <mergeCell ref="O31:S31"/>
    <mergeCell ref="J17:M18"/>
    <mergeCell ref="J19:M20"/>
    <mergeCell ref="J21:M22"/>
    <mergeCell ref="J23:M24"/>
    <mergeCell ref="J25:M26"/>
    <mergeCell ref="J27:M28"/>
    <mergeCell ref="J29:M30"/>
    <mergeCell ref="C3:AG3"/>
    <mergeCell ref="C6:M6"/>
    <mergeCell ref="P6:Z6"/>
    <mergeCell ref="AC6:AG6"/>
    <mergeCell ref="C34:AG34"/>
    <mergeCell ref="C35:AG35"/>
    <mergeCell ref="C37:AG37"/>
    <mergeCell ref="C38:AG38"/>
    <mergeCell ref="AD31:AG31"/>
    <mergeCell ref="Y31:AB31"/>
    <mergeCell ref="T31:W31"/>
    <mergeCell ref="D31:H31"/>
    <mergeCell ref="J31:M31"/>
    <mergeCell ref="D23:H24"/>
    <mergeCell ref="D25:H26"/>
    <mergeCell ref="D27:H28"/>
    <mergeCell ref="D29:H30"/>
    <mergeCell ref="V4:Z4"/>
    <mergeCell ref="Q7:Z7"/>
    <mergeCell ref="Q8:Z8"/>
    <mergeCell ref="Q9:Z9"/>
    <mergeCell ref="Q10:Z10"/>
    <mergeCell ref="C7:L7"/>
    <mergeCell ref="C8:L8"/>
    <mergeCell ref="C9:L9"/>
    <mergeCell ref="C10:L10"/>
    <mergeCell ref="C11:L11"/>
    <mergeCell ref="C12:L12"/>
    <mergeCell ref="C13:L13"/>
    <mergeCell ref="D19:H20"/>
    <mergeCell ref="D21:H22"/>
    <mergeCell ref="O19:S20"/>
    <mergeCell ref="AC7:AG7"/>
    <mergeCell ref="AC8:AG8"/>
    <mergeCell ref="AC9:AG9"/>
    <mergeCell ref="AC10:AG10"/>
    <mergeCell ref="Q4:U4"/>
    <mergeCell ref="I15:J16"/>
    <mergeCell ref="K15:M15"/>
    <mergeCell ref="K16:M16"/>
    <mergeCell ref="N15:O16"/>
    <mergeCell ref="S15:T16"/>
    <mergeCell ref="U15:W15"/>
    <mergeCell ref="U16:W16"/>
    <mergeCell ref="Q13:Z13"/>
    <mergeCell ref="C36:AG36"/>
    <mergeCell ref="C15:D16"/>
    <mergeCell ref="AC11:AG11"/>
    <mergeCell ref="AC12:AG12"/>
    <mergeCell ref="Q11:Z11"/>
    <mergeCell ref="Q12:Z12"/>
    <mergeCell ref="E15:H15"/>
    <mergeCell ref="E16:H16"/>
    <mergeCell ref="X15:Y16"/>
    <mergeCell ref="Z15:AB15"/>
    <mergeCell ref="Z16:AB16"/>
    <mergeCell ref="AC15:AD16"/>
    <mergeCell ref="AE15:AG15"/>
    <mergeCell ref="AE16:AG16"/>
  </mergeCells>
  <phoneticPr fontId="22" type="noConversion"/>
  <conditionalFormatting sqref="C17:C31">
    <cfRule type="expression" dxfId="91" priority="98">
      <formula>FechaDeinicio+0=TODAY()</formula>
    </cfRule>
  </conditionalFormatting>
  <conditionalFormatting sqref="AA13:AG13 C15 E15:E16 C35:C38 C17:C31 C6:C13 P15:P16 C1:AG1 C4:AG5 C62:AG1048576 C61:E61 G61:AG61 C43:AG60">
    <cfRule type="cellIs" dxfId="90" priority="173" operator="equal">
      <formula>"✔"</formula>
    </cfRule>
    <cfRule type="cellIs" dxfId="89" priority="174" operator="equal">
      <formula>"✖"</formula>
    </cfRule>
  </conditionalFormatting>
  <conditionalFormatting sqref="I15">
    <cfRule type="cellIs" dxfId="88" priority="157" operator="equal">
      <formula>"✔"</formula>
    </cfRule>
    <cfRule type="cellIs" dxfId="87" priority="158" operator="equal">
      <formula>"✖"</formula>
    </cfRule>
  </conditionalFormatting>
  <conditionalFormatting sqref="J19 J31 J21 J23 J25 J27 J29">
    <cfRule type="cellIs" dxfId="86" priority="101" operator="equal">
      <formula>"✔"</formula>
    </cfRule>
    <cfRule type="cellIs" dxfId="85" priority="102" operator="equal">
      <formula>"✖"</formula>
    </cfRule>
  </conditionalFormatting>
  <conditionalFormatting sqref="J31:M31 J19 J21 J23 J25 J27 J29">
    <cfRule type="expression" dxfId="84" priority="97">
      <formula>FechaDeinicio+1=TODAY()</formula>
    </cfRule>
  </conditionalFormatting>
  <conditionalFormatting sqref="K15:K16">
    <cfRule type="cellIs" dxfId="83" priority="90" operator="equal">
      <formula>"✔"</formula>
    </cfRule>
    <cfRule type="cellIs" dxfId="82" priority="91" operator="equal">
      <formula>"✖"</formula>
    </cfRule>
  </conditionalFormatting>
  <conditionalFormatting sqref="N6:N13">
    <cfRule type="cellIs" dxfId="81" priority="159" operator="equal">
      <formula>"✔"</formula>
    </cfRule>
    <cfRule type="cellIs" dxfId="80" priority="160" operator="equal">
      <formula>"✖"</formula>
    </cfRule>
  </conditionalFormatting>
  <conditionalFormatting sqref="N15">
    <cfRule type="cellIs" dxfId="79" priority="155" operator="equal">
      <formula>"✔"</formula>
    </cfRule>
    <cfRule type="cellIs" dxfId="78" priority="156" operator="equal">
      <formula>"✖"</formula>
    </cfRule>
  </conditionalFormatting>
  <conditionalFormatting sqref="T31">
    <cfRule type="cellIs" dxfId="77" priority="105" operator="equal">
      <formula>"✔"</formula>
    </cfRule>
    <cfRule type="cellIs" dxfId="76" priority="106" operator="equal">
      <formula>"✖"</formula>
    </cfRule>
  </conditionalFormatting>
  <conditionalFormatting sqref="T31:W31">
    <cfRule type="expression" dxfId="75" priority="95">
      <formula>FechaDeinicio+3=TODAY()</formula>
    </cfRule>
  </conditionalFormatting>
  <conditionalFormatting sqref="U15:U16">
    <cfRule type="cellIs" dxfId="74" priority="86" operator="equal">
      <formula>"✔"</formula>
    </cfRule>
    <cfRule type="cellIs" dxfId="73" priority="87" operator="equal">
      <formula>"✖"</formula>
    </cfRule>
  </conditionalFormatting>
  <conditionalFormatting sqref="X15">
    <cfRule type="cellIs" dxfId="72" priority="151" operator="equal">
      <formula>"✔"</formula>
    </cfRule>
    <cfRule type="cellIs" dxfId="71" priority="152" operator="equal">
      <formula>"✖"</formula>
    </cfRule>
  </conditionalFormatting>
  <conditionalFormatting sqref="Y31">
    <cfRule type="cellIs" dxfId="70" priority="107" operator="equal">
      <formula>"✔"</formula>
    </cfRule>
    <cfRule type="cellIs" dxfId="69" priority="108" operator="equal">
      <formula>"✖"</formula>
    </cfRule>
  </conditionalFormatting>
  <conditionalFormatting sqref="Y31:AB31">
    <cfRule type="expression" dxfId="68" priority="94">
      <formula>FechaDeinicio+4=TODAY()</formula>
    </cfRule>
  </conditionalFormatting>
  <conditionalFormatting sqref="Z15:Z16">
    <cfRule type="cellIs" dxfId="67" priority="84" operator="equal">
      <formula>"✔"</formula>
    </cfRule>
    <cfRule type="cellIs" dxfId="66" priority="85" operator="equal">
      <formula>"✖"</formula>
    </cfRule>
  </conditionalFormatting>
  <conditionalFormatting sqref="AA6:AC12">
    <cfRule type="cellIs" dxfId="65" priority="76" operator="equal">
      <formula>"✔"</formula>
    </cfRule>
    <cfRule type="cellIs" dxfId="64" priority="77" operator="equal">
      <formula>"✖"</formula>
    </cfRule>
  </conditionalFormatting>
  <conditionalFormatting sqref="AC15">
    <cfRule type="cellIs" dxfId="63" priority="149" operator="equal">
      <formula>"✔"</formula>
    </cfRule>
    <cfRule type="cellIs" dxfId="62" priority="150" operator="equal">
      <formula>"✖"</formula>
    </cfRule>
  </conditionalFormatting>
  <conditionalFormatting sqref="AD31">
    <cfRule type="cellIs" dxfId="61" priority="109" operator="equal">
      <formula>"✔"</formula>
    </cfRule>
    <cfRule type="cellIs" dxfId="60" priority="110" operator="equal">
      <formula>"✖"</formula>
    </cfRule>
  </conditionalFormatting>
  <conditionalFormatting sqref="AD31:AG31">
    <cfRule type="expression" dxfId="59" priority="93">
      <formula>FechaDeinicio+5=TODAY()</formula>
    </cfRule>
  </conditionalFormatting>
  <conditionalFormatting sqref="AE15:AE16">
    <cfRule type="cellIs" dxfId="58" priority="82" operator="equal">
      <formula>"✔"</formula>
    </cfRule>
    <cfRule type="cellIs" dxfId="57" priority="83" operator="equal">
      <formula>"✖"</formula>
    </cfRule>
  </conditionalFormatting>
  <conditionalFormatting sqref="D31 D21 D23 D27 D29">
    <cfRule type="cellIs" dxfId="56" priority="74" operator="equal">
      <formula>"✔"</formula>
    </cfRule>
    <cfRule type="cellIs" dxfId="55" priority="75" operator="equal">
      <formula>"✖"</formula>
    </cfRule>
  </conditionalFormatting>
  <conditionalFormatting sqref="D31 D21 D23 D27 D29">
    <cfRule type="expression" dxfId="54" priority="73">
      <formula>FechaDeinicio+1=TODAY()</formula>
    </cfRule>
  </conditionalFormatting>
  <conditionalFormatting sqref="O31 O21 O23 O25 O29">
    <cfRule type="cellIs" dxfId="53" priority="63" operator="equal">
      <formula>"✔"</formula>
    </cfRule>
    <cfRule type="cellIs" dxfId="52" priority="64" operator="equal">
      <formula>"✖"</formula>
    </cfRule>
  </conditionalFormatting>
  <conditionalFormatting sqref="O31 O21 O23 O25 O29">
    <cfRule type="expression" dxfId="51" priority="62">
      <formula>FechaDeinicio+1=TODAY()</formula>
    </cfRule>
  </conditionalFormatting>
  <conditionalFormatting sqref="I17:I31">
    <cfRule type="expression" dxfId="50" priority="57">
      <formula>FechaDeinicio+0=TODAY()</formula>
    </cfRule>
  </conditionalFormatting>
  <conditionalFormatting sqref="I17:I31">
    <cfRule type="cellIs" dxfId="49" priority="58" operator="equal">
      <formula>"✔"</formula>
    </cfRule>
    <cfRule type="cellIs" dxfId="48" priority="59" operator="equal">
      <formula>"✖"</formula>
    </cfRule>
  </conditionalFormatting>
  <conditionalFormatting sqref="N17:N31">
    <cfRule type="expression" dxfId="47" priority="54">
      <formula>FechaDeinicio+0=TODAY()</formula>
    </cfRule>
  </conditionalFormatting>
  <conditionalFormatting sqref="N17:N31">
    <cfRule type="cellIs" dxfId="46" priority="55" operator="equal">
      <formula>"✔"</formula>
    </cfRule>
    <cfRule type="cellIs" dxfId="45" priority="56" operator="equal">
      <formula>"✖"</formula>
    </cfRule>
  </conditionalFormatting>
  <conditionalFormatting sqref="X17:X31">
    <cfRule type="expression" dxfId="44" priority="51">
      <formula>FechaDeinicio+0=TODAY()</formula>
    </cfRule>
  </conditionalFormatting>
  <conditionalFormatting sqref="X17:X31">
    <cfRule type="cellIs" dxfId="43" priority="52" operator="equal">
      <formula>"✔"</formula>
    </cfRule>
    <cfRule type="cellIs" dxfId="42" priority="53" operator="equal">
      <formula>"✖"</formula>
    </cfRule>
  </conditionalFormatting>
  <conditionalFormatting sqref="AC17:AC31">
    <cfRule type="expression" dxfId="41" priority="48">
      <formula>FechaDeinicio+0=TODAY()</formula>
    </cfRule>
  </conditionalFormatting>
  <conditionalFormatting sqref="AC17:AC31">
    <cfRule type="cellIs" dxfId="40" priority="49" operator="equal">
      <formula>"✔"</formula>
    </cfRule>
    <cfRule type="cellIs" dxfId="39" priority="50" operator="equal">
      <formula>"✖"</formula>
    </cfRule>
  </conditionalFormatting>
  <conditionalFormatting sqref="T19 T21 T23 T25 T27 T29">
    <cfRule type="cellIs" dxfId="38" priority="43" operator="equal">
      <formula>"✔"</formula>
    </cfRule>
    <cfRule type="cellIs" dxfId="37" priority="44" operator="equal">
      <formula>"✖"</formula>
    </cfRule>
  </conditionalFormatting>
  <conditionalFormatting sqref="T19 T21 T23 T25 T27 T29">
    <cfRule type="expression" dxfId="36" priority="42">
      <formula>FechaDeinicio+1=TODAY()</formula>
    </cfRule>
  </conditionalFormatting>
  <conditionalFormatting sqref="Y21 Y23 Y25 Y27 Y29 Y17">
    <cfRule type="cellIs" dxfId="35" priority="40" operator="equal">
      <formula>"✔"</formula>
    </cfRule>
    <cfRule type="cellIs" dxfId="34" priority="41" operator="equal">
      <formula>"✖"</formula>
    </cfRule>
  </conditionalFormatting>
  <conditionalFormatting sqref="Y21 Y23 Y25 Y27 Y29 Y17">
    <cfRule type="expression" dxfId="33" priority="39">
      <formula>FechaDeinicio+1=TODAY()</formula>
    </cfRule>
  </conditionalFormatting>
  <conditionalFormatting sqref="AD19 AD17 AD23 AD27 AD21 AD25 AD29">
    <cfRule type="cellIs" dxfId="32" priority="37" operator="equal">
      <formula>"✔"</formula>
    </cfRule>
    <cfRule type="cellIs" dxfId="31" priority="38" operator="equal">
      <formula>"✖"</formula>
    </cfRule>
  </conditionalFormatting>
  <conditionalFormatting sqref="AD19 AD17 AD23 AD27 AD21 AD25 AD29">
    <cfRule type="expression" dxfId="30" priority="36">
      <formula>FechaDeinicio+1=TODAY()</formula>
    </cfRule>
  </conditionalFormatting>
  <conditionalFormatting sqref="O27">
    <cfRule type="cellIs" dxfId="29" priority="33" operator="equal">
      <formula>"✔"</formula>
    </cfRule>
    <cfRule type="cellIs" dxfId="28" priority="34" operator="equal">
      <formula>"✖"</formula>
    </cfRule>
  </conditionalFormatting>
  <conditionalFormatting sqref="O27">
    <cfRule type="expression" dxfId="27" priority="32">
      <formula>FechaDeinicio+1=TODAY()</formula>
    </cfRule>
  </conditionalFormatting>
  <conditionalFormatting sqref="O27:S30 D27:H30">
    <cfRule type="cellIs" dxfId="26" priority="175" operator="equal">
      <formula>$D$19</formula>
    </cfRule>
  </conditionalFormatting>
  <conditionalFormatting sqref="D17">
    <cfRule type="cellIs" dxfId="25" priority="25" operator="equal">
      <formula>"✔"</formula>
    </cfRule>
    <cfRule type="cellIs" dxfId="24" priority="26" operator="equal">
      <formula>"✖"</formula>
    </cfRule>
  </conditionalFormatting>
  <conditionalFormatting sqref="D17">
    <cfRule type="expression" dxfId="23" priority="24">
      <formula>FechaDeinicio+1=TODAY()</formula>
    </cfRule>
  </conditionalFormatting>
  <conditionalFormatting sqref="D17:H18">
    <cfRule type="cellIs" dxfId="22" priority="27" operator="equal">
      <formula>$D$19</formula>
    </cfRule>
  </conditionalFormatting>
  <conditionalFormatting sqref="T17">
    <cfRule type="cellIs" dxfId="21" priority="17" operator="equal">
      <formula>"✔"</formula>
    </cfRule>
    <cfRule type="cellIs" dxfId="20" priority="18" operator="equal">
      <formula>"✖"</formula>
    </cfRule>
  </conditionalFormatting>
  <conditionalFormatting sqref="T17">
    <cfRule type="expression" dxfId="19" priority="16">
      <formula>FechaDeinicio+1=TODAY()</formula>
    </cfRule>
  </conditionalFormatting>
  <conditionalFormatting sqref="T17:W18">
    <cfRule type="cellIs" dxfId="18" priority="19" operator="equal">
      <formula>$D$19</formula>
    </cfRule>
  </conditionalFormatting>
  <conditionalFormatting sqref="Y19">
    <cfRule type="cellIs" dxfId="14" priority="11" operator="equal">
      <formula>"✔"</formula>
    </cfRule>
    <cfRule type="cellIs" dxfId="13" priority="12" operator="equal">
      <formula>"✖"</formula>
    </cfRule>
  </conditionalFormatting>
  <conditionalFormatting sqref="Y19">
    <cfRule type="expression" dxfId="12" priority="10">
      <formula>FechaDeinicio+1=TODAY()</formula>
    </cfRule>
  </conditionalFormatting>
  <conditionalFormatting sqref="J17">
    <cfRule type="cellIs" dxfId="11" priority="8" operator="equal">
      <formula>"✔"</formula>
    </cfRule>
    <cfRule type="cellIs" dxfId="10" priority="9" operator="equal">
      <formula>"✖"</formula>
    </cfRule>
  </conditionalFormatting>
  <conditionalFormatting sqref="J17">
    <cfRule type="expression" dxfId="9" priority="7">
      <formula>FechaDeinicio+1=TODAY()</formula>
    </cfRule>
  </conditionalFormatting>
  <conditionalFormatting sqref="O17">
    <cfRule type="cellIs" dxfId="5" priority="5" operator="equal">
      <formula>"✔"</formula>
    </cfRule>
    <cfRule type="cellIs" dxfId="4" priority="6" operator="equal">
      <formula>"✖"</formula>
    </cfRule>
  </conditionalFormatting>
  <conditionalFormatting sqref="O17">
    <cfRule type="expression" dxfId="3" priority="4">
      <formula>FechaDeinicio+1=TODAY()</formula>
    </cfRule>
  </conditionalFormatting>
  <conditionalFormatting sqref="D25">
    <cfRule type="cellIs" dxfId="2" priority="2" operator="equal">
      <formula>"✔"</formula>
    </cfRule>
    <cfRule type="cellIs" dxfId="1" priority="3" operator="equal">
      <formula>"✖"</formula>
    </cfRule>
  </conditionalFormatting>
  <conditionalFormatting sqref="D25">
    <cfRule type="expression" dxfId="0" priority="1">
      <formula>FechaDeinicio+1=TODAY()</formula>
    </cfRule>
  </conditionalFormatting>
  <dataValidations count="6">
    <dataValidation type="list" allowBlank="1" showInputMessage="1" showErrorMessage="1" sqref="AC17:AC31 I17:I31 N17:N31 X17:X31" xr:uid="{869C72E2-BA1F-408A-B01A-DC1B9E7A3AC9}">
      <formula1>"✔,✖"</formula1>
    </dataValidation>
    <dataValidation allowBlank="1" showInputMessage="1" showErrorMessage="1" prompt="Seleccione la fecha de inicio de la semana en esta celda" sqref="V4:Z4" xr:uid="{5C0BAD3D-2CA8-4BB4-8D3E-0866A6CB286B}"/>
    <dataValidation allowBlank="1" showInputMessage="1" showErrorMessage="1" promptTitle="Planificador horario semanal" prompt="Supervise sus objetivos personales o profesionales, tareas y fechas límite con este planificador semanal._x000a__x000a_Supervise otros objetivos y prioridades con el diseño de calendario semanal. _x000a__x000a_El calendario destaca la fecha actual con formato condicional._x000a_" sqref="A1" xr:uid="{97914566-402F-4A8D-971E-471C2F2F7D5B}"/>
    <dataValidation type="list" allowBlank="1" showInputMessage="1" showErrorMessage="1" sqref="M7" xr:uid="{69A3AB06-36C4-40FF-8428-B4342AB34B1C}">
      <formula1>$G$41:$G$46</formula1>
    </dataValidation>
    <dataValidation type="list" allowBlank="1" showInputMessage="1" showErrorMessage="1" sqref="M8:M13 C17:C31" xr:uid="{5DBFC1C7-FAE8-4906-A072-95CA4789AAC2}">
      <formula1>$B$42:$B$47</formula1>
    </dataValidation>
    <dataValidation type="list" allowBlank="1" showInputMessage="1" showErrorMessage="1" sqref="P7:P13" xr:uid="{033AC98F-78C9-4927-8068-228E70487504}">
      <formula1>$F$52:$F$60</formula1>
    </dataValidation>
  </dataValidations>
  <pageMargins left="0.7" right="0.7" top="0.75" bottom="0.75" header="0.3" footer="0.3"/>
  <pageSetup paperSize="9" scale="5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6e0ad8bcb937777a496f4378509b82b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3afd91b9dddacb5807afd727ccca0e2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C0559-A3A8-404B-B3C9-59977EEF143B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7C3BEF7D-0560-4D92-8503-510D68BBA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95C161-5F30-4256-BAD3-309A5874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TM66910461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Planificador horario semanal</vt:lpstr>
      <vt:lpstr>'Planificador horario semanal'!Área_de_impresión</vt:lpstr>
      <vt:lpstr>FechaDeinicio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2019-10-10T14:02:30Z</dcterms:created>
  <dcterms:modified xsi:type="dcterms:W3CDTF">2025-07-29T02:50:49Z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